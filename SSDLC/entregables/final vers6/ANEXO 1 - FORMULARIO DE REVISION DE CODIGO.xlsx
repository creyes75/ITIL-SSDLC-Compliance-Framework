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17CBB0C9-E9CE-47B7-95EC-25ADB6AF8B0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Resumen Revisión " sheetId="2" r:id="rId1"/>
    <sheet name="Detalle Revisión " sheetId="3" r:id="rId2"/>
  </sheets>
  <definedNames>
    <definedName name="_xlnm.Print_Area" localSheetId="1">'Detalle Revisión '!$A$1:$I$54</definedName>
    <definedName name="_xlnm.Print_Area" localSheetId="0">'Resumen Revisión 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2" l="1"/>
  <c r="G13" i="2"/>
  <c r="F13" i="2"/>
  <c r="E13" i="2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MAGB</author>
  </authors>
  <commentList>
    <comment ref="G9" authorId="0" shapeId="0" xr:uid="{00000000-0006-0000-0100-000001000000}">
      <text>
        <r>
          <rPr>
            <sz val="10.5"/>
            <color theme="1"/>
            <rFont val="NewsGotT"/>
          </rPr>
          <t>PENDIENTE: defecto no resuelto</t>
        </r>
        <r>
          <rPr>
            <sz val="10.5"/>
            <color theme="1"/>
            <rFont val="NewsGotT"/>
          </rPr>
          <t xml:space="preserve">
CERRADA: defecto resuelto</t>
        </r>
        <r>
          <rPr>
            <sz val="10.5"/>
            <color theme="1"/>
            <rFont val="NewsGotT"/>
          </rPr>
          <t xml:space="preserve">
DESESTIMADA: defecto anulado</t>
        </r>
      </text>
    </comment>
  </commentList>
</comments>
</file>

<file path=xl/sharedStrings.xml><?xml version="1.0" encoding="utf-8"?>
<sst xmlns="http://schemas.openxmlformats.org/spreadsheetml/2006/main" count="73" uniqueCount="58">
  <si>
    <t>Proyecto</t>
  </si>
  <si>
    <t>Nº Defectos Totales</t>
  </si>
  <si>
    <t>Bloqueante</t>
  </si>
  <si>
    <t>Severidad Alta</t>
  </si>
  <si>
    <t>Severidad Media</t>
  </si>
  <si>
    <t>Severidad Baja</t>
  </si>
  <si>
    <t>Recomendación</t>
  </si>
  <si>
    <t>Pasa Revisión</t>
  </si>
  <si>
    <t>Resumen</t>
  </si>
  <si>
    <t>Código Verificación</t>
  </si>
  <si>
    <t>Descripción Verificación efectuada</t>
  </si>
  <si>
    <t>Severidad</t>
  </si>
  <si>
    <t>Núm de Ocurrencias</t>
  </si>
  <si>
    <t>Defectos Pendientes</t>
  </si>
  <si>
    <t>Defectos Cerrados</t>
  </si>
  <si>
    <t>Defectos Desestimados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</si>
  <si>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</si>
  <si>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</si>
  <si>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</si>
  <si>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</si>
  <si>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</si>
  <si>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</si>
  <si>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</si>
  <si>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</si>
  <si>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</si>
  <si>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</si>
  <si>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</si>
  <si>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</si>
  <si>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</si>
  <si>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</si>
  <si>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</si>
  <si>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Comentarios del autor</t>
  </si>
  <si>
    <t>Defectos</t>
  </si>
  <si>
    <t>Versión + Release</t>
  </si>
  <si>
    <t>Fecha Revisión</t>
  </si>
  <si>
    <t>Descripción del defecto</t>
  </si>
  <si>
    <t>Estado</t>
  </si>
  <si>
    <t xml:space="preserve">  Informe de Revisión Estática de Código Fuente </t>
  </si>
  <si>
    <t>Existen validaciones o procesos en el front end</t>
  </si>
  <si>
    <t>Maneja encriptacion sobre datos delicados(Nro cta, Claves)</t>
  </si>
  <si>
    <t>ALTA</t>
  </si>
  <si>
    <t>SUPERADO</t>
  </si>
  <si>
    <t xml:space="preserve">Formulario Web </t>
  </si>
  <si>
    <t>WebServices</t>
  </si>
  <si>
    <t>Objeto/Opcion Afectada</t>
  </si>
  <si>
    <t>Tipo de Objeto/Opción</t>
  </si>
  <si>
    <t>Ver2- R3</t>
  </si>
  <si>
    <t>Optimizacion Sistema Cobranzas</t>
  </si>
  <si>
    <t xml:space="preserve">Vers2 </t>
  </si>
  <si>
    <t>SI.</t>
  </si>
  <si>
    <t>Versión</t>
  </si>
  <si>
    <t>Departamento Sistemas - Ing. Villanueva</t>
  </si>
  <si>
    <t>Responsible Verificación</t>
  </si>
  <si>
    <t>FUNDACION TERMINAL TERRESTRE DE GUAYAQUIL</t>
  </si>
  <si>
    <t>DESARROLLO DE APLICACIONES</t>
  </si>
  <si>
    <t xml:space="preserve">   Resumen de la Revisión</t>
  </si>
  <si>
    <t>Opción de Cobro</t>
  </si>
  <si>
    <t>FORMULARIO PARA LA REVISIÓN DE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</si>
</sst>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&quot;[$€];[Red]&quot;-&quot;#,##0.00&quot; &quot;[$€]"/>
  </numFmts>
  <fonts count="16">
    <font>
      <sz val="11"/>
      <color theme="1"/>
      <name val="Arial"/>
      <family val="2"/>
    </font>
    <font>
      <u/>
      <sz val="10"/>
      <color rgb="FF0000FF"/>
      <name val="Arial1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0.5"/>
      <color theme="1"/>
      <name val="NewsGotT"/>
    </font>
    <font>
      <sz val="11"/>
      <color theme="1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b/>
      <sz val="11"/>
      <name val="Verdana"/>
      <family val="2"/>
    </font>
    <font>
      <b/>
      <sz val="11"/>
      <color theme="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6E6E6"/>
        <bgColor rgb="FFE6E6E6"/>
      </patternFill>
    </fill>
    <fill>
      <patternFill patternType="solid">
        <fgColor rgb="FFCCCCCC"/>
        <bgColor rgb="FFCCCCCC"/>
      </patternFill>
    </fill>
  </fills>
  <borders count="2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FFFFFF"/>
      </left>
      <right style="thin">
        <color rgb="FFFFFFFF"/>
      </right>
      <top style="double">
        <color rgb="FF999999"/>
      </top>
      <bottom style="double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double">
        <color rgb="FF969696"/>
      </left>
      <right style="double">
        <color rgb="FF969696"/>
      </right>
      <top style="double">
        <color rgb="FF969696"/>
      </top>
      <bottom style="double">
        <color rgb="FF96969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6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93">
    <xf numFmtId="0" fontId="0" fillId="0" borderId="0" xfId="0"/>
    <xf numFmtId="0" fontId="5" fillId="0" borderId="1" xfId="0" applyFont="1" applyBorder="1"/>
    <xf numFmtId="0" fontId="5" fillId="0" borderId="0" xfId="0" applyFont="1"/>
    <xf numFmtId="0" fontId="5" fillId="0" borderId="19" xfId="0" applyFont="1" applyBorder="1"/>
    <xf numFmtId="0" fontId="5" fillId="0" borderId="14" xfId="0" applyFont="1" applyBorder="1"/>
    <xf numFmtId="0" fontId="5" fillId="0" borderId="20" xfId="0" applyFont="1" applyBorder="1"/>
    <xf numFmtId="0" fontId="5" fillId="0" borderId="17" xfId="0" applyFont="1" applyBorder="1"/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0" xfId="0" applyFont="1"/>
    <xf numFmtId="0" fontId="9" fillId="0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0" xfId="0" applyFont="1"/>
    <xf numFmtId="49" fontId="10" fillId="0" borderId="5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49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0" xfId="0" applyFont="1" applyBorder="1"/>
    <xf numFmtId="0" fontId="10" fillId="0" borderId="1" xfId="0" applyFont="1" applyBorder="1" applyAlignment="1">
      <alignment wrapText="1"/>
    </xf>
    <xf numFmtId="0" fontId="10" fillId="0" borderId="19" xfId="0" applyFont="1" applyBorder="1"/>
    <xf numFmtId="0" fontId="10" fillId="0" borderId="19" xfId="0" applyFont="1" applyBorder="1" applyAlignment="1">
      <alignment wrapText="1"/>
    </xf>
    <xf numFmtId="0" fontId="10" fillId="0" borderId="0" xfId="0" applyFont="1" applyBorder="1"/>
    <xf numFmtId="0" fontId="10" fillId="0" borderId="17" xfId="0" applyFont="1" applyBorder="1"/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20" xfId="0" applyFont="1" applyBorder="1"/>
    <xf numFmtId="0" fontId="8" fillId="3" borderId="7" xfId="0" applyFont="1" applyFill="1" applyBorder="1" applyAlignment="1">
      <alignment horizontal="left" vertical="center" wrapText="1"/>
    </xf>
    <xf numFmtId="0" fontId="10" fillId="0" borderId="17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justify" vertical="center" wrapText="1"/>
    </xf>
    <xf numFmtId="0" fontId="8" fillId="0" borderId="13" xfId="0" applyFont="1" applyFill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justify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164" fontId="11" fillId="0" borderId="16" xfId="0" applyNumberFormat="1" applyFont="1" applyBorder="1" applyAlignment="1">
      <alignment horizontal="justify" vertical="center" wrapText="1"/>
    </xf>
    <xf numFmtId="0" fontId="11" fillId="0" borderId="16" xfId="0" applyFont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14" fillId="0" borderId="0" xfId="0" applyFont="1" applyBorder="1" applyAlignment="1">
      <alignment horizontal="center"/>
    </xf>
    <xf numFmtId="0" fontId="10" fillId="0" borderId="23" xfId="0" applyFont="1" applyBorder="1"/>
    <xf numFmtId="0" fontId="5" fillId="0" borderId="24" xfId="0" applyFont="1" applyBorder="1"/>
    <xf numFmtId="0" fontId="10" fillId="0" borderId="0" xfId="0" applyFont="1" applyBorder="1" applyAlignment="1">
      <alignment wrapText="1"/>
    </xf>
    <xf numFmtId="0" fontId="8" fillId="2" borderId="18" xfId="0" applyFont="1" applyFill="1" applyBorder="1" applyAlignment="1">
      <alignment horizontal="center" vertical="top" wrapText="1"/>
    </xf>
    <xf numFmtId="0" fontId="10" fillId="0" borderId="18" xfId="0" applyFont="1" applyFill="1" applyBorder="1"/>
    <xf numFmtId="0" fontId="14" fillId="0" borderId="0" xfId="0" applyFont="1" applyBorder="1" applyAlignment="1">
      <alignment horizontal="center"/>
    </xf>
    <xf numFmtId="2" fontId="15" fillId="0" borderId="24" xfId="0" applyNumberFormat="1" applyFont="1" applyBorder="1" applyAlignment="1">
      <alignment horizontal="center"/>
    </xf>
    <xf numFmtId="2" fontId="15" fillId="0" borderId="21" xfId="0" applyNumberFormat="1" applyFont="1" applyBorder="1" applyAlignment="1">
      <alignment horizontal="center"/>
    </xf>
    <xf numFmtId="2" fontId="15" fillId="0" borderId="25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0" fillId="0" borderId="8" xfId="0" applyFont="1" applyFill="1" applyBorder="1"/>
    <xf numFmtId="0" fontId="8" fillId="4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top" wrapText="1"/>
    </xf>
    <xf numFmtId="0" fontId="5" fillId="0" borderId="18" xfId="0" applyFont="1" applyFill="1" applyBorder="1"/>
    <xf numFmtId="2" fontId="15" fillId="0" borderId="14" xfId="0" applyNumberFormat="1" applyFont="1" applyBorder="1" applyAlignment="1">
      <alignment horizontal="center"/>
    </xf>
    <xf numFmtId="2" fontId="15" fillId="0" borderId="22" xfId="0" applyNumberFormat="1" applyFont="1" applyBorder="1" applyAlignment="1">
      <alignment horizontal="center"/>
    </xf>
    <xf numFmtId="2" fontId="15" fillId="0" borderId="20" xfId="0" applyNumberFormat="1" applyFont="1" applyBorder="1" applyAlignment="1">
      <alignment horizontal="center"/>
    </xf>
  </cellXfs>
  <cellStyles count="6">
    <cellStyle name="Excel_BuiltIn_Hyperlink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2</xdr:col>
      <xdr:colOff>1642964</xdr:colOff>
      <xdr:row>4</xdr:row>
      <xdr:rowOff>38100</xdr:rowOff>
    </xdr:to>
    <xdr:pic>
      <xdr:nvPicPr>
        <xdr:cNvPr id="3" name="image6.png">
          <a:extLst>
            <a:ext uri="{FF2B5EF4-FFF2-40B4-BE49-F238E27FC236}">
              <a16:creationId xmlns:a16="http://schemas.microsoft.com/office/drawing/2014/main" id="{14363E2D-8347-4776-9310-E4428EC12D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57275" y="0"/>
          <a:ext cx="1645920" cy="68580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0</xdr:rowOff>
    </xdr:from>
    <xdr:to>
      <xdr:col>2</xdr:col>
      <xdr:colOff>226696</xdr:colOff>
      <xdr:row>4</xdr:row>
      <xdr:rowOff>38100</xdr:rowOff>
    </xdr:to>
    <xdr:pic>
      <xdr:nvPicPr>
        <xdr:cNvPr id="3" name="image6.png">
          <a:extLst>
            <a:ext uri="{FF2B5EF4-FFF2-40B4-BE49-F238E27FC236}">
              <a16:creationId xmlns:a16="http://schemas.microsoft.com/office/drawing/2014/main" id="{5D20E50D-C1D4-48C6-A2A2-982F097D5E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6701" y="0"/>
          <a:ext cx="1645920" cy="68580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G1" zoomScaleNormal="100" workbookViewId="0">
      <selection sqref="A1:H40"/>
    </sheetView>
  </sheetViews>
  <sheetFormatPr baseColWidth="10" defaultRowHeight="11.25"/>
  <cols>
    <col min="1" max="1" width="1.5" style="22" customWidth="1"/>
    <col min="2" max="2" width="1.875" style="22" customWidth="1"/>
    <col min="3" max="3" width="49.625" style="42" customWidth="1"/>
    <col min="4" max="4" width="13.125" style="22" customWidth="1"/>
    <col min="5" max="5" width="13.5" style="22" customWidth="1"/>
    <col min="6" max="6" width="13.375" style="22" customWidth="1"/>
    <col min="7" max="7" width="12.625" style="22" customWidth="1"/>
    <col min="8" max="8" width="13.75" style="22" customWidth="1"/>
    <col min="9" max="16384" width="11" style="23"/>
  </cols>
  <sheetData>
    <row r="1" spans="1:8" ht="12.75" customHeight="1">
      <c r="C1" s="44"/>
      <c r="D1" s="43"/>
      <c r="E1" s="43"/>
      <c r="F1" s="43"/>
      <c r="G1" s="43"/>
      <c r="H1" s="43"/>
    </row>
    <row r="2" spans="1:8" ht="12.75" customHeight="1">
      <c r="A2" s="43"/>
      <c r="B2" s="72"/>
      <c r="C2" s="74"/>
      <c r="D2" s="45"/>
      <c r="E2" s="45"/>
      <c r="F2" s="45"/>
      <c r="G2" s="45"/>
      <c r="H2" s="45"/>
    </row>
    <row r="3" spans="1:8" s="41" customFormat="1" ht="12.75" customHeight="1">
      <c r="C3" s="77" t="s">
        <v>53</v>
      </c>
      <c r="D3" s="77"/>
      <c r="E3" s="77"/>
      <c r="F3" s="77"/>
      <c r="G3" s="77"/>
      <c r="H3" s="77"/>
    </row>
    <row r="4" spans="1:8" s="2" customFormat="1" ht="12.75" customHeight="1">
      <c r="A4" s="6"/>
      <c r="B4" s="73"/>
      <c r="C4" s="77" t="s">
        <v>54</v>
      </c>
      <c r="D4" s="77"/>
      <c r="E4" s="77"/>
      <c r="F4" s="77"/>
      <c r="G4" s="77"/>
      <c r="H4" s="77"/>
    </row>
    <row r="5" spans="1:8" s="2" customFormat="1" ht="12.75" customHeight="1">
      <c r="A5" s="6"/>
      <c r="B5" s="73"/>
      <c r="C5" s="71"/>
      <c r="D5" s="71"/>
      <c r="E5" s="71"/>
      <c r="F5" s="71"/>
      <c r="G5" s="71"/>
      <c r="H5" s="71"/>
    </row>
    <row r="6" spans="1:8" s="2" customFormat="1" ht="12.75" customHeight="1">
      <c r="A6" s="1"/>
      <c r="B6" s="4"/>
      <c r="C6" s="78" t="s">
        <v>57</v>
      </c>
      <c r="D6" s="79"/>
      <c r="E6" s="79"/>
      <c r="F6" s="79"/>
      <c r="G6" s="79"/>
      <c r="H6" s="80"/>
    </row>
    <row r="7" spans="1:8" s="2" customFormat="1" ht="18" customHeight="1">
      <c r="A7" s="1"/>
      <c r="B7" s="1"/>
      <c r="C7" s="78" t="s">
        <v>55</v>
      </c>
      <c r="D7" s="79"/>
      <c r="E7" s="79"/>
      <c r="F7" s="79"/>
      <c r="G7" s="79"/>
      <c r="H7" s="80"/>
    </row>
    <row r="8" spans="1:8" ht="19.149999999999999" customHeight="1" thickBot="1">
      <c r="C8" s="43"/>
      <c r="D8" s="44"/>
      <c r="E8" s="43"/>
      <c r="F8" s="43"/>
      <c r="G8" s="43"/>
    </row>
    <row r="9" spans="1:8" ht="18.75" customHeight="1" thickTop="1">
      <c r="C9" s="47" t="s">
        <v>0</v>
      </c>
      <c r="D9" s="81" t="s">
        <v>47</v>
      </c>
      <c r="E9" s="81"/>
      <c r="F9" s="48" t="s">
        <v>50</v>
      </c>
      <c r="G9" s="49" t="s">
        <v>48</v>
      </c>
      <c r="H9" s="50"/>
    </row>
    <row r="10" spans="1:8" ht="18.75" customHeight="1" thickBot="1">
      <c r="C10" s="51" t="s">
        <v>52</v>
      </c>
      <c r="D10" s="82" t="s">
        <v>51</v>
      </c>
      <c r="E10" s="82"/>
      <c r="F10" s="82"/>
      <c r="G10" s="83"/>
      <c r="H10" s="50"/>
    </row>
    <row r="11" spans="1:8" ht="12.75" customHeight="1" thickTop="1" thickBot="1">
      <c r="C11" s="52"/>
      <c r="D11" s="46"/>
      <c r="E11" s="46"/>
      <c r="F11" s="46"/>
      <c r="G11" s="46"/>
    </row>
    <row r="12" spans="1:8" ht="19.899999999999999" customHeight="1" thickTop="1" thickBot="1">
      <c r="A12" s="53"/>
      <c r="B12" s="53"/>
      <c r="C12" s="84" t="s">
        <v>1</v>
      </c>
      <c r="D12" s="48" t="s">
        <v>2</v>
      </c>
      <c r="E12" s="48" t="s">
        <v>3</v>
      </c>
      <c r="F12" s="48" t="s">
        <v>4</v>
      </c>
      <c r="G12" s="48" t="s">
        <v>5</v>
      </c>
      <c r="H12" s="54" t="s">
        <v>6</v>
      </c>
    </row>
    <row r="13" spans="1:8" ht="19.899999999999999" customHeight="1" thickTop="1">
      <c r="A13" s="53"/>
      <c r="B13" s="53"/>
      <c r="C13" s="84"/>
      <c r="D13" s="55">
        <f>SUMPRODUCT((D19:D33="Bloqueante")*(F19:F33))</f>
        <v>0</v>
      </c>
      <c r="E13" s="55">
        <f>SUMPRODUCT((D19:D33="Alta")*(F19:F33))</f>
        <v>0</v>
      </c>
      <c r="F13" s="55">
        <f>SUMPRODUCT((D19:D33="Media")*(E19:E33))</f>
        <v>0</v>
      </c>
      <c r="G13" s="55">
        <f>SUMPRODUCT((D19:D33="Baja")*(E19:E33))</f>
        <v>0</v>
      </c>
      <c r="H13" s="56">
        <f>SUMPRODUCT((D19:D33="Recomendación")*(E19:E33))</f>
        <v>0</v>
      </c>
    </row>
    <row r="14" spans="1:8" ht="19.899999999999999" customHeight="1" thickBot="1">
      <c r="A14" s="53"/>
      <c r="B14" s="53"/>
      <c r="C14" s="57" t="s">
        <v>7</v>
      </c>
      <c r="D14" s="85" t="s">
        <v>49</v>
      </c>
      <c r="E14" s="85"/>
      <c r="F14" s="85"/>
      <c r="G14" s="85"/>
      <c r="H14" s="85"/>
    </row>
    <row r="15" spans="1:8" ht="12.75" customHeight="1" thickTop="1" thickBot="1">
      <c r="A15" s="53"/>
      <c r="B15" s="53"/>
      <c r="C15" s="53"/>
      <c r="D15" s="53"/>
      <c r="E15" s="53"/>
      <c r="F15" s="53"/>
      <c r="G15" s="53"/>
      <c r="H15" s="53"/>
    </row>
    <row r="16" spans="1:8" ht="19.899999999999999" customHeight="1" thickTop="1" thickBot="1">
      <c r="A16" s="53"/>
      <c r="B16" s="86" t="s">
        <v>8</v>
      </c>
      <c r="C16" s="86"/>
      <c r="D16" s="86"/>
      <c r="E16" s="86"/>
      <c r="F16" s="86"/>
      <c r="G16" s="86"/>
      <c r="H16" s="86"/>
    </row>
    <row r="17" spans="1:8" ht="42.4" customHeight="1" thickTop="1" thickBot="1">
      <c r="A17" s="53"/>
      <c r="B17" s="9" t="s">
        <v>9</v>
      </c>
      <c r="C17" s="10" t="s">
        <v>10</v>
      </c>
      <c r="D17" s="10" t="s">
        <v>11</v>
      </c>
      <c r="E17" s="10" t="s">
        <v>12</v>
      </c>
      <c r="F17" s="10" t="s">
        <v>13</v>
      </c>
      <c r="G17" s="10" t="s">
        <v>14</v>
      </c>
      <c r="H17" s="11" t="s">
        <v>15</v>
      </c>
    </row>
    <row r="18" spans="1:8" ht="8.4499999999999993" customHeight="1" thickTop="1" thickBot="1">
      <c r="A18" s="53"/>
      <c r="B18" s="58"/>
      <c r="C18" s="58"/>
      <c r="D18" s="58"/>
      <c r="E18" s="58"/>
      <c r="F18" s="58"/>
      <c r="G18" s="58"/>
      <c r="H18" s="58"/>
    </row>
    <row r="19" spans="1:8" ht="25.5" customHeight="1" thickTop="1">
      <c r="A19" s="15"/>
      <c r="B19" s="16" t="s">
        <v>16</v>
      </c>
      <c r="C19" s="19" t="s">
        <v>38</v>
      </c>
      <c r="D19" s="20" t="s">
        <v>40</v>
      </c>
      <c r="E19" s="59">
        <v>1</v>
      </c>
      <c r="F19" s="59">
        <v>0</v>
      </c>
      <c r="G19" s="59">
        <v>0</v>
      </c>
      <c r="H19" s="60">
        <v>0</v>
      </c>
    </row>
    <row r="20" spans="1:8" ht="33.75">
      <c r="A20" s="15"/>
      <c r="B20" s="61" t="s">
        <v>17</v>
      </c>
      <c r="C20" s="25" t="s">
        <v>39</v>
      </c>
      <c r="D20" s="26" t="s">
        <v>40</v>
      </c>
      <c r="E20" s="62">
        <v>0</v>
      </c>
      <c r="F20" s="62">
        <v>0</v>
      </c>
      <c r="G20" s="62">
        <v>0</v>
      </c>
      <c r="H20" s="63">
        <v>0</v>
      </c>
    </row>
    <row r="21" spans="1:8" ht="33.75">
      <c r="A21" s="15"/>
      <c r="B21" s="61" t="s">
        <v>18</v>
      </c>
      <c r="C21" s="64"/>
      <c r="D21" s="26"/>
      <c r="E21" s="62">
        <v>0</v>
      </c>
      <c r="F21" s="62">
        <v>0</v>
      </c>
      <c r="G21" s="62">
        <v>0</v>
      </c>
      <c r="H21" s="63">
        <v>0</v>
      </c>
    </row>
    <row r="22" spans="1:8" ht="25.5" customHeight="1">
      <c r="A22" s="15"/>
      <c r="B22" s="61" t="s">
        <v>19</v>
      </c>
      <c r="C22" s="64"/>
      <c r="D22" s="26"/>
      <c r="E22" s="62">
        <v>0</v>
      </c>
      <c r="F22" s="62">
        <v>0</v>
      </c>
      <c r="G22" s="62">
        <v>0</v>
      </c>
      <c r="H22" s="63">
        <v>0</v>
      </c>
    </row>
    <row r="23" spans="1:8" ht="25.5" customHeight="1">
      <c r="A23" s="15"/>
      <c r="B23" s="61" t="s">
        <v>20</v>
      </c>
      <c r="C23" s="64"/>
      <c r="D23" s="26"/>
      <c r="E23" s="62">
        <v>0</v>
      </c>
      <c r="F23" s="62">
        <v>0</v>
      </c>
      <c r="G23" s="62">
        <v>0</v>
      </c>
      <c r="H23" s="63">
        <v>0</v>
      </c>
    </row>
    <row r="24" spans="1:8" ht="33.75">
      <c r="A24" s="15"/>
      <c r="B24" s="61" t="s">
        <v>21</v>
      </c>
      <c r="C24" s="64"/>
      <c r="D24" s="26"/>
      <c r="E24" s="62">
        <v>0</v>
      </c>
      <c r="F24" s="62">
        <v>0</v>
      </c>
      <c r="G24" s="62">
        <v>0</v>
      </c>
      <c r="H24" s="63">
        <v>0</v>
      </c>
    </row>
    <row r="25" spans="1:8" ht="33.75">
      <c r="A25" s="15"/>
      <c r="B25" s="61" t="s">
        <v>22</v>
      </c>
      <c r="C25" s="64"/>
      <c r="D25" s="26"/>
      <c r="E25" s="62">
        <v>0</v>
      </c>
      <c r="F25" s="62">
        <v>0</v>
      </c>
      <c r="G25" s="62">
        <v>0</v>
      </c>
      <c r="H25" s="63">
        <v>0</v>
      </c>
    </row>
    <row r="26" spans="1:8" ht="33.75">
      <c r="A26" s="15"/>
      <c r="B26" s="61" t="s">
        <v>23</v>
      </c>
      <c r="C26" s="64"/>
      <c r="D26" s="26"/>
      <c r="E26" s="62">
        <v>0</v>
      </c>
      <c r="F26" s="62">
        <v>0</v>
      </c>
      <c r="G26" s="62">
        <v>0</v>
      </c>
      <c r="H26" s="63">
        <v>0</v>
      </c>
    </row>
    <row r="27" spans="1:8" ht="33.75">
      <c r="A27" s="15"/>
      <c r="B27" s="61" t="s">
        <v>24</v>
      </c>
      <c r="C27" s="64"/>
      <c r="D27" s="26"/>
      <c r="E27" s="62">
        <v>0</v>
      </c>
      <c r="F27" s="62">
        <v>0</v>
      </c>
      <c r="G27" s="62">
        <v>0</v>
      </c>
      <c r="H27" s="63">
        <v>0</v>
      </c>
    </row>
    <row r="28" spans="1:8" ht="33.75">
      <c r="A28" s="15"/>
      <c r="B28" s="61" t="s">
        <v>25</v>
      </c>
      <c r="C28" s="64"/>
      <c r="D28" s="26"/>
      <c r="E28" s="62">
        <v>0</v>
      </c>
      <c r="F28" s="62">
        <v>0</v>
      </c>
      <c r="G28" s="62">
        <v>0</v>
      </c>
      <c r="H28" s="63">
        <v>0</v>
      </c>
    </row>
    <row r="29" spans="1:8" ht="33.75">
      <c r="A29" s="15"/>
      <c r="B29" s="61" t="s">
        <v>26</v>
      </c>
      <c r="C29" s="64"/>
      <c r="D29" s="26"/>
      <c r="E29" s="62">
        <v>0</v>
      </c>
      <c r="F29" s="62">
        <v>0</v>
      </c>
      <c r="G29" s="62">
        <v>0</v>
      </c>
      <c r="H29" s="63">
        <v>0</v>
      </c>
    </row>
    <row r="30" spans="1:8" ht="33.75">
      <c r="A30" s="15"/>
      <c r="B30" s="61" t="s">
        <v>27</v>
      </c>
      <c r="C30" s="64"/>
      <c r="D30" s="26"/>
      <c r="E30" s="62">
        <v>0</v>
      </c>
      <c r="F30" s="62">
        <v>0</v>
      </c>
      <c r="G30" s="62">
        <v>0</v>
      </c>
      <c r="H30" s="63">
        <v>0</v>
      </c>
    </row>
    <row r="31" spans="1:8" ht="33.75">
      <c r="A31" s="15"/>
      <c r="B31" s="61" t="s">
        <v>28</v>
      </c>
      <c r="C31" s="64"/>
      <c r="D31" s="26"/>
      <c r="E31" s="62">
        <v>0</v>
      </c>
      <c r="F31" s="62">
        <v>0</v>
      </c>
      <c r="G31" s="62">
        <v>0</v>
      </c>
      <c r="H31" s="63">
        <v>0</v>
      </c>
    </row>
    <row r="32" spans="1:8" ht="33.75">
      <c r="A32" s="15"/>
      <c r="B32" s="61" t="s">
        <v>29</v>
      </c>
      <c r="C32" s="64"/>
      <c r="D32" s="26"/>
      <c r="E32" s="62">
        <v>0</v>
      </c>
      <c r="F32" s="62">
        <v>0</v>
      </c>
      <c r="G32" s="62">
        <v>0</v>
      </c>
      <c r="H32" s="63">
        <v>0</v>
      </c>
    </row>
    <row r="33" spans="1:8" ht="25.5" customHeight="1" thickBot="1">
      <c r="A33" s="15"/>
      <c r="B33" s="65" t="s">
        <v>30</v>
      </c>
      <c r="C33" s="66"/>
      <c r="D33" s="67"/>
      <c r="E33" s="68">
        <v>0</v>
      </c>
      <c r="F33" s="68">
        <v>0</v>
      </c>
      <c r="G33" s="68">
        <v>0</v>
      </c>
      <c r="H33" s="69">
        <v>0</v>
      </c>
    </row>
    <row r="34" spans="1:8" ht="12" thickTop="1">
      <c r="A34" s="53"/>
      <c r="B34" s="70"/>
      <c r="C34" s="53"/>
      <c r="D34" s="53"/>
      <c r="E34" s="53"/>
      <c r="F34" s="53"/>
      <c r="G34" s="53"/>
      <c r="H34" s="70"/>
    </row>
    <row r="35" spans="1:8">
      <c r="A35" s="53"/>
      <c r="B35" s="53"/>
      <c r="C35" s="53"/>
      <c r="D35" s="53"/>
      <c r="E35" s="53"/>
      <c r="F35" s="53"/>
      <c r="G35" s="53"/>
      <c r="H35" s="53"/>
    </row>
    <row r="36" spans="1:8">
      <c r="A36" s="53"/>
      <c r="B36" s="53"/>
      <c r="C36" s="53"/>
      <c r="D36" s="53"/>
      <c r="E36" s="53"/>
      <c r="F36" s="53"/>
      <c r="G36" s="53"/>
      <c r="H36" s="53"/>
    </row>
    <row r="37" spans="1:8" ht="12" thickBot="1">
      <c r="A37" s="53"/>
      <c r="B37" s="53"/>
      <c r="C37" s="53"/>
      <c r="D37" s="53"/>
      <c r="E37" s="53"/>
      <c r="F37" s="53"/>
      <c r="G37" s="53"/>
      <c r="H37" s="53"/>
    </row>
    <row r="38" spans="1:8" ht="19.899999999999999" customHeight="1" thickTop="1" thickBot="1">
      <c r="B38" s="75" t="s">
        <v>31</v>
      </c>
      <c r="C38" s="75"/>
      <c r="D38" s="75"/>
      <c r="E38" s="75"/>
      <c r="F38" s="75"/>
      <c r="G38" s="75"/>
      <c r="H38" s="75"/>
    </row>
    <row r="39" spans="1:8" ht="205.35" customHeight="1" thickTop="1" thickBot="1">
      <c r="B39" s="76"/>
      <c r="C39" s="76"/>
      <c r="D39" s="76"/>
      <c r="E39" s="76"/>
      <c r="F39" s="76"/>
      <c r="G39" s="76"/>
      <c r="H39" s="76"/>
    </row>
    <row r="40" spans="1:8" ht="12" thickTop="1"/>
  </sheetData>
  <mergeCells count="11">
    <mergeCell ref="B38:H38"/>
    <mergeCell ref="B39:H39"/>
    <mergeCell ref="C3:H3"/>
    <mergeCell ref="C4:H4"/>
    <mergeCell ref="C7:H7"/>
    <mergeCell ref="D9:E9"/>
    <mergeCell ref="D10:G10"/>
    <mergeCell ref="C12:C13"/>
    <mergeCell ref="D14:H14"/>
    <mergeCell ref="B16:H16"/>
    <mergeCell ref="C6:H6"/>
  </mergeCells>
  <printOptions horizontalCentered="1"/>
  <pageMargins left="0.39370078740157483" right="0.19685039370078741" top="0.35433070866141736" bottom="0.35433070866141736" header="0.31496062992125984" footer="0"/>
  <pageSetup paperSize="9" scale="74" pageOrder="overThenDown" orientation="portrait" useFirstPageNumber="1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T54"/>
  <sheetViews>
    <sheetView zoomScale="145" zoomScaleNormal="145" workbookViewId="0">
      <selection sqref="A1:I54"/>
    </sheetView>
  </sheetViews>
  <sheetFormatPr baseColWidth="10" defaultRowHeight="14.25"/>
  <cols>
    <col min="1" max="1" width="3.375" style="1" customWidth="1"/>
    <col min="2" max="2" width="18.75" style="1" customWidth="1"/>
    <col min="3" max="3" width="13.25" style="1" customWidth="1"/>
    <col min="4" max="4" width="13" style="1" customWidth="1"/>
    <col min="5" max="5" width="42.75" style="1" customWidth="1"/>
    <col min="6" max="6" width="9.875" style="1" customWidth="1"/>
    <col min="7" max="7" width="13.375" style="1" customWidth="1"/>
    <col min="8" max="8" width="21.25" style="1" customWidth="1"/>
    <col min="9" max="9" width="18.5" style="1" customWidth="1"/>
    <col min="10" max="253" width="10.75" style="1" customWidth="1"/>
    <col min="254" max="254" width="10.75" style="2" customWidth="1"/>
    <col min="255" max="16384" width="11" style="2"/>
  </cols>
  <sheetData>
    <row r="1" spans="1:254" ht="12.75" customHeight="1"/>
    <row r="2" spans="1:254" ht="12.75" customHeight="1">
      <c r="C2" s="3"/>
      <c r="D2" s="3"/>
      <c r="E2" s="3"/>
      <c r="F2" s="3"/>
      <c r="G2" s="3"/>
      <c r="H2" s="3"/>
    </row>
    <row r="3" spans="1:254" ht="12.75" customHeight="1">
      <c r="B3" s="4"/>
      <c r="C3" s="77" t="s">
        <v>53</v>
      </c>
      <c r="D3" s="77"/>
      <c r="E3" s="77"/>
      <c r="F3" s="77"/>
      <c r="G3" s="77"/>
      <c r="H3" s="77"/>
      <c r="I3" s="5"/>
    </row>
    <row r="4" spans="1:254" ht="12.75" customHeight="1">
      <c r="B4" s="4"/>
      <c r="C4" s="77" t="s">
        <v>54</v>
      </c>
      <c r="D4" s="77"/>
      <c r="E4" s="77"/>
      <c r="F4" s="77"/>
      <c r="G4" s="77"/>
      <c r="H4" s="77"/>
      <c r="I4" s="5"/>
    </row>
    <row r="5" spans="1:254" ht="12.75" customHeight="1">
      <c r="C5" s="6"/>
      <c r="D5" s="6"/>
      <c r="E5" s="6"/>
      <c r="F5" s="6"/>
      <c r="G5" s="6"/>
      <c r="H5" s="6"/>
    </row>
    <row r="6" spans="1:254" ht="15" customHeight="1">
      <c r="A6" s="90" t="s">
        <v>37</v>
      </c>
      <c r="B6" s="91"/>
      <c r="C6" s="91"/>
      <c r="D6" s="91"/>
      <c r="E6" s="91"/>
      <c r="F6" s="91"/>
      <c r="G6" s="91"/>
      <c r="H6" s="91"/>
      <c r="I6" s="92"/>
    </row>
    <row r="7" spans="1:254" ht="12.75" customHeight="1" thickBot="1"/>
    <row r="8" spans="1:254" ht="19.899999999999999" customHeight="1" thickTop="1" thickBot="1">
      <c r="A8" s="7"/>
      <c r="B8" s="87" t="s">
        <v>32</v>
      </c>
      <c r="C8" s="87"/>
      <c r="D8" s="87"/>
      <c r="E8" s="87"/>
      <c r="F8" s="87"/>
      <c r="G8" s="87"/>
      <c r="H8" s="87"/>
      <c r="I8" s="87"/>
    </row>
    <row r="9" spans="1:254" ht="42.4" customHeight="1" thickTop="1" thickBot="1">
      <c r="A9" s="8"/>
      <c r="B9" s="9" t="s">
        <v>33</v>
      </c>
      <c r="C9" s="10" t="s">
        <v>34</v>
      </c>
      <c r="D9" s="10" t="s">
        <v>9</v>
      </c>
      <c r="E9" s="10" t="s">
        <v>35</v>
      </c>
      <c r="F9" s="10" t="s">
        <v>11</v>
      </c>
      <c r="G9" s="10" t="s">
        <v>36</v>
      </c>
      <c r="H9" s="10" t="s">
        <v>44</v>
      </c>
      <c r="I9" s="11" t="s">
        <v>45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3"/>
    </row>
    <row r="10" spans="1:254" ht="8.4499999999999993" customHeight="1" thickTop="1" thickBot="1">
      <c r="A10" s="7"/>
      <c r="B10" s="14"/>
      <c r="C10" s="14"/>
      <c r="D10" s="14"/>
      <c r="E10" s="14"/>
      <c r="F10" s="14"/>
      <c r="G10" s="14"/>
      <c r="H10" s="14"/>
    </row>
    <row r="11" spans="1:254" s="23" customFormat="1" ht="25.5" customHeight="1" thickTop="1" thickBot="1">
      <c r="A11" s="15"/>
      <c r="B11" s="16" t="s">
        <v>46</v>
      </c>
      <c r="C11" s="17">
        <v>44284</v>
      </c>
      <c r="D11" s="18" t="s">
        <v>16</v>
      </c>
      <c r="E11" s="19" t="s">
        <v>38</v>
      </c>
      <c r="F11" s="20" t="s">
        <v>40</v>
      </c>
      <c r="G11" s="20" t="s">
        <v>41</v>
      </c>
      <c r="H11" s="20" t="s">
        <v>56</v>
      </c>
      <c r="I11" s="21" t="s">
        <v>42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</row>
    <row r="12" spans="1:254" s="23" customFormat="1" ht="25.5" customHeight="1" thickTop="1">
      <c r="A12" s="15"/>
      <c r="B12" s="16" t="s">
        <v>46</v>
      </c>
      <c r="C12" s="17">
        <v>44284</v>
      </c>
      <c r="D12" s="24" t="s">
        <v>17</v>
      </c>
      <c r="E12" s="25" t="s">
        <v>39</v>
      </c>
      <c r="F12" s="26" t="s">
        <v>40</v>
      </c>
      <c r="G12" s="20" t="s">
        <v>41</v>
      </c>
      <c r="H12" s="20" t="s">
        <v>56</v>
      </c>
      <c r="I12" s="21" t="s">
        <v>43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</row>
    <row r="13" spans="1:254" ht="25.5" customHeight="1">
      <c r="A13" s="27"/>
      <c r="B13" s="28"/>
      <c r="C13" s="29"/>
      <c r="D13" s="30"/>
      <c r="E13" s="31"/>
      <c r="F13" s="32"/>
      <c r="G13" s="32"/>
      <c r="H13" s="32"/>
      <c r="I13" s="33"/>
    </row>
    <row r="14" spans="1:254" ht="25.5" customHeight="1">
      <c r="A14" s="27"/>
      <c r="B14" s="28"/>
      <c r="C14" s="29"/>
      <c r="D14" s="30"/>
      <c r="E14" s="31"/>
      <c r="F14" s="32"/>
      <c r="G14" s="32"/>
      <c r="H14" s="32"/>
      <c r="I14" s="33"/>
    </row>
    <row r="15" spans="1:254" ht="25.5" customHeight="1">
      <c r="A15" s="27"/>
      <c r="B15" s="28"/>
      <c r="C15" s="29"/>
      <c r="D15" s="30"/>
      <c r="E15" s="31"/>
      <c r="F15" s="32"/>
      <c r="G15" s="32"/>
      <c r="H15" s="32"/>
      <c r="I15" s="33"/>
    </row>
    <row r="16" spans="1:254" ht="25.5" customHeight="1">
      <c r="A16" s="27"/>
      <c r="B16" s="28"/>
      <c r="C16" s="29"/>
      <c r="D16" s="30"/>
      <c r="E16" s="31"/>
      <c r="F16" s="32"/>
      <c r="G16" s="32"/>
      <c r="H16" s="32"/>
      <c r="I16" s="33"/>
    </row>
    <row r="17" spans="1:9" ht="25.5" customHeight="1">
      <c r="A17" s="27"/>
      <c r="B17" s="28"/>
      <c r="C17" s="29"/>
      <c r="D17" s="30"/>
      <c r="E17" s="31"/>
      <c r="F17" s="32"/>
      <c r="G17" s="32"/>
      <c r="H17" s="32"/>
      <c r="I17" s="33"/>
    </row>
    <row r="18" spans="1:9" ht="25.5" customHeight="1">
      <c r="A18" s="27"/>
      <c r="B18" s="28"/>
      <c r="C18" s="29"/>
      <c r="D18" s="30"/>
      <c r="E18" s="31"/>
      <c r="F18" s="32"/>
      <c r="G18" s="32"/>
      <c r="H18" s="32"/>
      <c r="I18" s="33"/>
    </row>
    <row r="19" spans="1:9" ht="25.5" customHeight="1">
      <c r="A19" s="27"/>
      <c r="B19" s="28"/>
      <c r="C19" s="29"/>
      <c r="D19" s="30"/>
      <c r="E19" s="31"/>
      <c r="F19" s="32"/>
      <c r="G19" s="32"/>
      <c r="H19" s="32"/>
      <c r="I19" s="33"/>
    </row>
    <row r="20" spans="1:9" ht="25.5" customHeight="1">
      <c r="A20" s="27"/>
      <c r="B20" s="28"/>
      <c r="C20" s="29"/>
      <c r="D20" s="30"/>
      <c r="E20" s="31"/>
      <c r="F20" s="32"/>
      <c r="G20" s="32"/>
      <c r="H20" s="32"/>
      <c r="I20" s="33"/>
    </row>
    <row r="21" spans="1:9" ht="25.5" customHeight="1">
      <c r="A21" s="27"/>
      <c r="B21" s="28"/>
      <c r="C21" s="29"/>
      <c r="D21" s="30"/>
      <c r="E21" s="31"/>
      <c r="F21" s="32"/>
      <c r="G21" s="32"/>
      <c r="H21" s="32"/>
      <c r="I21" s="33"/>
    </row>
    <row r="22" spans="1:9" ht="25.5" customHeight="1">
      <c r="A22" s="27"/>
      <c r="B22" s="28"/>
      <c r="C22" s="29"/>
      <c r="D22" s="30"/>
      <c r="E22" s="31"/>
      <c r="F22" s="32"/>
      <c r="G22" s="32"/>
      <c r="H22" s="32"/>
      <c r="I22" s="33"/>
    </row>
    <row r="23" spans="1:9" ht="25.5" customHeight="1">
      <c r="A23" s="27"/>
      <c r="B23" s="28"/>
      <c r="C23" s="29"/>
      <c r="D23" s="30"/>
      <c r="E23" s="31"/>
      <c r="F23" s="32"/>
      <c r="G23" s="32"/>
      <c r="H23" s="32"/>
      <c r="I23" s="33"/>
    </row>
    <row r="24" spans="1:9" ht="25.5" customHeight="1">
      <c r="A24" s="27"/>
      <c r="B24" s="28"/>
      <c r="C24" s="29"/>
      <c r="D24" s="30"/>
      <c r="E24" s="31"/>
      <c r="F24" s="32"/>
      <c r="G24" s="32"/>
      <c r="H24" s="32"/>
      <c r="I24" s="33"/>
    </row>
    <row r="25" spans="1:9" ht="25.5" customHeight="1">
      <c r="A25" s="27"/>
      <c r="B25" s="28"/>
      <c r="C25" s="29"/>
      <c r="D25" s="30"/>
      <c r="E25" s="31"/>
      <c r="F25" s="32"/>
      <c r="G25" s="32"/>
      <c r="H25" s="32"/>
      <c r="I25" s="33"/>
    </row>
    <row r="26" spans="1:9" ht="25.5" customHeight="1">
      <c r="A26" s="27"/>
      <c r="B26" s="28"/>
      <c r="C26" s="29"/>
      <c r="D26" s="30"/>
      <c r="E26" s="31"/>
      <c r="F26" s="32"/>
      <c r="G26" s="32"/>
      <c r="H26" s="32"/>
      <c r="I26" s="33"/>
    </row>
    <row r="27" spans="1:9" ht="25.5" customHeight="1">
      <c r="A27" s="27"/>
      <c r="B27" s="28"/>
      <c r="C27" s="29"/>
      <c r="D27" s="30"/>
      <c r="E27" s="31"/>
      <c r="F27" s="32"/>
      <c r="G27" s="32"/>
      <c r="H27" s="32"/>
      <c r="I27" s="33"/>
    </row>
    <row r="28" spans="1:9" ht="25.5" customHeight="1">
      <c r="A28" s="27"/>
      <c r="B28" s="28"/>
      <c r="C28" s="29"/>
      <c r="D28" s="30"/>
      <c r="E28" s="31"/>
      <c r="F28" s="32"/>
      <c r="G28" s="32"/>
      <c r="H28" s="32"/>
      <c r="I28" s="33"/>
    </row>
    <row r="29" spans="1:9" ht="25.5" customHeight="1">
      <c r="A29" s="27"/>
      <c r="B29" s="28"/>
      <c r="C29" s="29"/>
      <c r="D29" s="30"/>
      <c r="E29" s="31"/>
      <c r="F29" s="32"/>
      <c r="G29" s="32"/>
      <c r="H29" s="32"/>
      <c r="I29" s="33"/>
    </row>
    <row r="30" spans="1:9" ht="25.5" customHeight="1">
      <c r="A30" s="27"/>
      <c r="B30" s="28"/>
      <c r="C30" s="29"/>
      <c r="D30" s="30"/>
      <c r="E30" s="31"/>
      <c r="F30" s="32"/>
      <c r="G30" s="32"/>
      <c r="H30" s="32"/>
      <c r="I30" s="33"/>
    </row>
    <row r="31" spans="1:9" ht="25.5" customHeight="1">
      <c r="A31" s="27"/>
      <c r="B31" s="28"/>
      <c r="C31" s="29"/>
      <c r="D31" s="30"/>
      <c r="E31" s="31"/>
      <c r="F31" s="32"/>
      <c r="G31" s="32"/>
      <c r="H31" s="32"/>
      <c r="I31" s="33"/>
    </row>
    <row r="32" spans="1:9" ht="25.5" customHeight="1">
      <c r="A32" s="27"/>
      <c r="B32" s="28"/>
      <c r="C32" s="29"/>
      <c r="D32" s="30"/>
      <c r="E32" s="31"/>
      <c r="F32" s="32"/>
      <c r="G32" s="32"/>
      <c r="H32" s="32"/>
      <c r="I32" s="33"/>
    </row>
    <row r="33" spans="1:9" ht="25.5" customHeight="1">
      <c r="A33" s="27"/>
      <c r="B33" s="28"/>
      <c r="C33" s="29"/>
      <c r="D33" s="30"/>
      <c r="E33" s="31"/>
      <c r="F33" s="32"/>
      <c r="G33" s="32"/>
      <c r="H33" s="32"/>
      <c r="I33" s="33"/>
    </row>
    <row r="34" spans="1:9" ht="25.5" customHeight="1">
      <c r="A34" s="27"/>
      <c r="B34" s="28"/>
      <c r="C34" s="29"/>
      <c r="D34" s="30"/>
      <c r="E34" s="31"/>
      <c r="F34" s="32"/>
      <c r="G34" s="32"/>
      <c r="H34" s="32"/>
      <c r="I34" s="33"/>
    </row>
    <row r="35" spans="1:9" ht="25.5" customHeight="1" thickBot="1">
      <c r="A35" s="27"/>
      <c r="B35" s="34"/>
      <c r="C35" s="35"/>
      <c r="D35" s="36"/>
      <c r="E35" s="37"/>
      <c r="F35" s="38"/>
      <c r="G35" s="38"/>
      <c r="H35" s="38"/>
      <c r="I35" s="39"/>
    </row>
    <row r="36" spans="1:9" ht="15" thickTop="1">
      <c r="A36" s="7"/>
      <c r="B36" s="40"/>
      <c r="C36" s="7"/>
      <c r="D36" s="7"/>
      <c r="E36" s="7"/>
      <c r="F36" s="7"/>
      <c r="G36" s="7"/>
      <c r="H36" s="40"/>
    </row>
    <row r="37" spans="1:9" ht="15" thickBot="1">
      <c r="A37" s="7"/>
      <c r="B37" s="7"/>
      <c r="C37" s="7"/>
      <c r="D37" s="7"/>
      <c r="E37" s="7"/>
      <c r="F37" s="7"/>
      <c r="G37" s="7"/>
      <c r="H37" s="7"/>
    </row>
    <row r="38" spans="1:9" ht="19.899999999999999" customHeight="1" thickTop="1" thickBot="1">
      <c r="B38" s="88" t="s">
        <v>31</v>
      </c>
      <c r="C38" s="88"/>
      <c r="D38" s="88"/>
      <c r="E38" s="88"/>
      <c r="F38" s="88"/>
      <c r="G38" s="88"/>
      <c r="H38" s="88"/>
    </row>
    <row r="39" spans="1:9" ht="15.75" thickTop="1" thickBot="1">
      <c r="B39" s="89"/>
      <c r="C39" s="89"/>
      <c r="D39" s="89"/>
      <c r="E39" s="89"/>
      <c r="F39" s="89"/>
      <c r="G39" s="89"/>
      <c r="H39" s="89"/>
    </row>
    <row r="40" spans="1:9" ht="15.75" thickTop="1" thickBot="1">
      <c r="B40" s="89"/>
      <c r="C40" s="89"/>
      <c r="D40" s="89"/>
      <c r="E40" s="89"/>
      <c r="F40" s="89"/>
      <c r="G40" s="89"/>
      <c r="H40" s="89"/>
    </row>
    <row r="41" spans="1:9" ht="15.75" thickTop="1" thickBot="1">
      <c r="B41" s="89"/>
      <c r="C41" s="89"/>
      <c r="D41" s="89"/>
      <c r="E41" s="89"/>
      <c r="F41" s="89"/>
      <c r="G41" s="89"/>
      <c r="H41" s="89"/>
    </row>
    <row r="42" spans="1:9" ht="15.75" thickTop="1" thickBot="1">
      <c r="B42" s="89"/>
      <c r="C42" s="89"/>
      <c r="D42" s="89"/>
      <c r="E42" s="89"/>
      <c r="F42" s="89"/>
      <c r="G42" s="89"/>
      <c r="H42" s="89"/>
    </row>
    <row r="43" spans="1:9" ht="15.75" thickTop="1" thickBot="1">
      <c r="B43" s="89"/>
      <c r="C43" s="89"/>
      <c r="D43" s="89"/>
      <c r="E43" s="89"/>
      <c r="F43" s="89"/>
      <c r="G43" s="89"/>
      <c r="H43" s="89"/>
    </row>
    <row r="44" spans="1:9" ht="15.75" thickTop="1" thickBot="1">
      <c r="B44" s="89"/>
      <c r="C44" s="89"/>
      <c r="D44" s="89"/>
      <c r="E44" s="89"/>
      <c r="F44" s="89"/>
      <c r="G44" s="89"/>
      <c r="H44" s="89"/>
    </row>
    <row r="45" spans="1:9" ht="15.75" thickTop="1" thickBot="1">
      <c r="B45" s="89"/>
      <c r="C45" s="89"/>
      <c r="D45" s="89"/>
      <c r="E45" s="89"/>
      <c r="F45" s="89"/>
      <c r="G45" s="89"/>
      <c r="H45" s="89"/>
    </row>
    <row r="46" spans="1:9" ht="15.75" thickTop="1" thickBot="1">
      <c r="B46" s="89"/>
      <c r="C46" s="89"/>
      <c r="D46" s="89"/>
      <c r="E46" s="89"/>
      <c r="F46" s="89"/>
      <c r="G46" s="89"/>
      <c r="H46" s="89"/>
    </row>
    <row r="47" spans="1:9" ht="15.75" thickTop="1" thickBot="1">
      <c r="B47" s="89"/>
      <c r="C47" s="89"/>
      <c r="D47" s="89"/>
      <c r="E47" s="89"/>
      <c r="F47" s="89"/>
      <c r="G47" s="89"/>
      <c r="H47" s="89"/>
    </row>
    <row r="48" spans="1:9" ht="15.75" thickTop="1" thickBot="1">
      <c r="B48" s="89"/>
      <c r="C48" s="89"/>
      <c r="D48" s="89"/>
      <c r="E48" s="89"/>
      <c r="F48" s="89"/>
      <c r="G48" s="89"/>
      <c r="H48" s="89"/>
    </row>
    <row r="49" spans="2:8" ht="15.75" thickTop="1" thickBot="1">
      <c r="B49" s="89"/>
      <c r="C49" s="89"/>
      <c r="D49" s="89"/>
      <c r="E49" s="89"/>
      <c r="F49" s="89"/>
      <c r="G49" s="89"/>
      <c r="H49" s="89"/>
    </row>
    <row r="50" spans="2:8" ht="15.75" thickTop="1" thickBot="1">
      <c r="B50" s="89"/>
      <c r="C50" s="89"/>
      <c r="D50" s="89"/>
      <c r="E50" s="89"/>
      <c r="F50" s="89"/>
      <c r="G50" s="89"/>
      <c r="H50" s="89"/>
    </row>
    <row r="51" spans="2:8" ht="15.75" thickTop="1" thickBot="1">
      <c r="B51" s="89"/>
      <c r="C51" s="89"/>
      <c r="D51" s="89"/>
      <c r="E51" s="89"/>
      <c r="F51" s="89"/>
      <c r="G51" s="89"/>
      <c r="H51" s="89"/>
    </row>
    <row r="52" spans="2:8" ht="15.75" thickTop="1" thickBot="1">
      <c r="B52" s="89"/>
      <c r="C52" s="89"/>
      <c r="D52" s="89"/>
      <c r="E52" s="89"/>
      <c r="F52" s="89"/>
      <c r="G52" s="89"/>
      <c r="H52" s="89"/>
    </row>
    <row r="53" spans="2:8" ht="15.75" thickTop="1" thickBot="1">
      <c r="B53" s="89"/>
      <c r="C53" s="89"/>
      <c r="D53" s="89"/>
      <c r="E53" s="89"/>
      <c r="F53" s="89"/>
      <c r="G53" s="89"/>
      <c r="H53" s="89"/>
    </row>
    <row r="54" spans="2:8" ht="15" thickTop="1"/>
  </sheetData>
  <mergeCells count="6">
    <mergeCell ref="B8:I8"/>
    <mergeCell ref="B38:H38"/>
    <mergeCell ref="B39:H53"/>
    <mergeCell ref="C3:H3"/>
    <mergeCell ref="C4:H4"/>
    <mergeCell ref="A6:I6"/>
  </mergeCells>
  <printOptions horizontalCentered="1"/>
  <pageMargins left="0.39370078740157483" right="0" top="0.39370078740157483" bottom="0.39370078740157483" header="0" footer="0"/>
  <pageSetup paperSize="9" scale="58" pageOrder="overThenDown" orientation="portrait" useFirstPageNumber="1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834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 Revisión </vt:lpstr>
      <vt:lpstr>Detalle Revisión </vt:lpstr>
      <vt:lpstr>'Detalle Revisión '!Área_de_impresión</vt:lpstr>
      <vt:lpstr>'Resumen Revisión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Revisión Estática de Código Fuente (Revisión Manual)</dc:title>
  <dc:subject>&lt;Denominación del Proyecto&gt;</dc:subject>
  <dc:creator>everis everis</dc:creator>
  <cp:keywords>&lt;v01r00&gt;</cp:keywords>
  <dc:description>Servicio de Revisión Estática de Código Fuente</dc:description>
  <cp:lastModifiedBy>CarlosReyes</cp:lastModifiedBy>
  <cp:revision>85</cp:revision>
  <cp:lastPrinted>2021-06-22T20:11:34Z</cp:lastPrinted>
  <dcterms:created xsi:type="dcterms:W3CDTF">2009-02-24T14:14:16Z</dcterms:created>
  <dcterms:modified xsi:type="dcterms:W3CDTF">2021-06-22T20:11:44Z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