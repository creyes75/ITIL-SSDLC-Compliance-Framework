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801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proyectos CRA\TTERRESTRE\SSDLC\entregables\final vers6\"/>
    </mc:Choice>
  </mc:AlternateContent>
  <xr:revisionPtr revIDLastSave="0" documentId="13_ncr:1_{0414E654-4DC2-48F7-9C1E-AA33960116D3}" xr6:coauthVersionLast="46" xr6:coauthVersionMax="46" xr10:uidLastSave="{00000000-0000-0000-0000-000000000000}"/>
  <bookViews>
    <workbookView xWindow="-120" yWindow="-120" windowWidth="20730" windowHeight="11160" xr2:uid="{00000000-000D-0000-FFFF-FFFF00000000}"/>
  </bookViews>
  <sheets>
    <sheet name="Checklist_1" sheetId="6" r:id="rId1"/>
    <sheet name="Checklist" sheetId="3" state="hidden" r:id="rId2"/>
    <sheet name="Hoja2" sheetId="7" state="hidden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6" i="6" l="1"/>
  <c r="F18" i="6"/>
  <c r="E19" i="6" s="1"/>
  <c r="F19" i="6" s="1"/>
  <c r="F8" i="6"/>
  <c r="E9" i="6" s="1"/>
  <c r="F9" i="6" s="1"/>
  <c r="E10" i="6" s="1"/>
  <c r="E7" i="6"/>
  <c r="F7" i="6" s="1"/>
  <c r="F10" i="6" l="1"/>
  <c r="E11" i="6" l="1"/>
  <c r="F11" i="6" s="1"/>
  <c r="E12" i="6" l="1"/>
  <c r="F12" i="6" s="1"/>
  <c r="E13" i="6" s="1"/>
  <c r="F13" i="6" s="1"/>
</calcChain>
</file>

<file path=xl/sharedStrings.xml><?xml version="1.0" encoding="utf-8"?>
<sst xmlns="http://schemas.openxmlformats.org/spreadsheetml/2006/main" count="133" uniqueCount="84">
  <si>
    <t>Nro.</t>
  </si>
  <si>
    <t>Actividad</t>
  </si>
  <si>
    <t>Comentarios</t>
  </si>
  <si>
    <t xml:space="preserve">Checklist Actividades </t>
  </si>
  <si>
    <t xml:space="preserve"> </t>
  </si>
  <si>
    <t>Plan de Reverso o Contingencia</t>
  </si>
  <si>
    <t>Base de Datos OFC</t>
  </si>
  <si>
    <t>Dependencia a validar</t>
  </si>
  <si>
    <t>Aplicativo a validar</t>
  </si>
  <si>
    <t>Hora de inicio</t>
  </si>
  <si>
    <t>Personal requerido</t>
  </si>
  <si>
    <t>Tiempo de interrupción del servicio</t>
  </si>
  <si>
    <t>Fecha de implementación</t>
  </si>
  <si>
    <t>Hora final</t>
  </si>
  <si>
    <t>Soporte a Usuario</t>
  </si>
  <si>
    <t>n/a</t>
  </si>
  <si>
    <t>SSI</t>
  </si>
  <si>
    <t>2018-02-06</t>
  </si>
  <si>
    <t>2018-02-07</t>
  </si>
  <si>
    <t>HLV,HRG,CHD</t>
  </si>
  <si>
    <t>16:30</t>
  </si>
  <si>
    <t>16:40</t>
  </si>
  <si>
    <t>Infraestructura</t>
  </si>
  <si>
    <r>
      <rPr>
        <b/>
        <sz val="12"/>
        <rFont val="Arial"/>
        <family val="2"/>
      </rPr>
      <t>Soporte Usuario</t>
    </r>
    <r>
      <rPr>
        <sz val="8"/>
        <rFont val="Arial"/>
        <family val="2"/>
      </rPr>
      <t xml:space="preserve">
Validar la opcion del SSI 1030 con los cambios solicitados con el usario Liliana Calle de oficina central del Departamento de soluciones de Hospitalaria</t>
    </r>
  </si>
  <si>
    <t>Compilar las versiones resoalda antes del cambio</t>
  </si>
  <si>
    <r>
      <rPr>
        <b/>
        <sz val="12"/>
        <rFont val="Arial"/>
        <family val="2"/>
      </rPr>
      <t>Grupo Infraestructura</t>
    </r>
    <r>
      <rPr>
        <b/>
        <sz val="8"/>
        <rFont val="Arial"/>
        <family val="2"/>
      </rPr>
      <t xml:space="preserve">
</t>
    </r>
    <r>
      <rPr>
        <sz val="8"/>
        <rFont val="Arial"/>
        <family val="2"/>
      </rPr>
      <t xml:space="preserve">
1) Respaldar los siguientes ficheros en el BackUp de control en el servidor \\jbg01ap02\SSI\IESS 
* ) IESS.Facturacion.Reportes.dll
* ) SCS_PreFactura.rpt
  2)  </t>
    </r>
    <r>
      <rPr>
        <b/>
        <sz val="8"/>
        <color rgb="FFFF0000"/>
        <rFont val="Arial"/>
        <family val="2"/>
      </rPr>
      <t>Ubicar los archivos en carpeta ..\\jbg01fs03\JBGRepDes\Pases_Producción\INC 263587  OC 1957</t>
    </r>
    <r>
      <rPr>
        <sz val="8"/>
        <rFont val="Arial"/>
        <family val="2"/>
      </rPr>
      <t xml:space="preserve">
Copiar los archivos:
 * ) IESS.Facturacion.Reportes.dll
 * ) SCS_PreFactura.rpt
Pegar las opciones NUEVAS en el pool de aplicaciones en el servidor   \\jbg01ap02\SSI\IESS
 * )  IESS.Facturacion.Reportes.dll
 * ) SCS_PreFactura.rpt
</t>
    </r>
  </si>
  <si>
    <r>
      <rPr>
        <b/>
        <sz val="12"/>
        <rFont val="Arial"/>
        <family val="2"/>
      </rPr>
      <t xml:space="preserve">Grupo Base de Datos
1)  </t>
    </r>
    <r>
      <rPr>
        <sz val="9"/>
        <rFont val="Arial"/>
        <family val="2"/>
      </rPr>
      <t>Respaldar el siguiente .sql jbg_p_r_reporteprefacturaiess.sql</t>
    </r>
    <r>
      <rPr>
        <b/>
        <sz val="12"/>
        <rFont val="Arial"/>
        <family val="2"/>
      </rPr>
      <t xml:space="preserve">
2) </t>
    </r>
    <r>
      <rPr>
        <b/>
        <sz val="12"/>
        <color rgb="FFFF0000"/>
        <rFont val="Arial"/>
        <family val="2"/>
      </rPr>
      <t xml:space="preserve"> </t>
    </r>
    <r>
      <rPr>
        <b/>
        <sz val="8"/>
        <color rgb="FFFF0000"/>
        <rFont val="Arial"/>
        <family val="2"/>
      </rPr>
      <t>Ruta del fuente: \\jbg01fs03\JBGRepDes\Pases_Producción\INC 263587  OC 1958 compilar en los servidores los .sql:</t>
    </r>
    <r>
      <rPr>
        <sz val="8"/>
        <rFont val="Arial"/>
        <family val="2"/>
      </rPr>
      <t xml:space="preserve">
En el servidor informix HRG ejecutar el .sql jbg_p_r_reporteprefacturaiess.sql
En el servidor informix HLV ejecutar el .sql jbg_p_r_reporteprefacturaiess.sql
En el servidor informix CHD ejecutar el .sql jbg_p_r_reporteprefacturaiess.sql</t>
    </r>
  </si>
  <si>
    <t>hiepiina</t>
  </si>
  <si>
    <t>ormovx</t>
  </si>
  <si>
    <t>inmegr</t>
  </si>
  <si>
    <t>aycarfac</t>
  </si>
  <si>
    <t>famov</t>
  </si>
  <si>
    <t>ivdrodet</t>
  </si>
  <si>
    <t>inpac</t>
  </si>
  <si>
    <t>caenc</t>
  </si>
  <si>
    <t>aymovotr</t>
  </si>
  <si>
    <t>aymov</t>
  </si>
  <si>
    <t>facar</t>
  </si>
  <si>
    <t>aycardet</t>
  </si>
  <si>
    <t>facardet</t>
  </si>
  <si>
    <t>famovotr</t>
  </si>
  <si>
    <t>facarfac</t>
  </si>
  <si>
    <t>cacar</t>
  </si>
  <si>
    <t>facfadet</t>
  </si>
  <si>
    <t>aycfadet</t>
  </si>
  <si>
    <t>ormovultx</t>
  </si>
  <si>
    <t>ormovult</t>
  </si>
  <si>
    <t>ormov</t>
  </si>
  <si>
    <t>cocco</t>
  </si>
  <si>
    <t>cafue</t>
  </si>
  <si>
    <t>incup</t>
  </si>
  <si>
    <t>facon</t>
  </si>
  <si>
    <t>intus</t>
  </si>
  <si>
    <t>cafueenc</t>
  </si>
  <si>
    <t>intar</t>
  </si>
  <si>
    <t>intse</t>
  </si>
  <si>
    <t>siide</t>
  </si>
  <si>
    <t>sictedet</t>
  </si>
  <si>
    <t>ivart</t>
  </si>
  <si>
    <t>abpac</t>
  </si>
  <si>
    <t>TABLAS INFORMIX</t>
  </si>
  <si>
    <t>tbltipopacienteestad</t>
  </si>
  <si>
    <t xml:space="preserve">TBLCENTROCOSTO </t>
  </si>
  <si>
    <t>TABLAS SQL SERVER</t>
  </si>
  <si>
    <t>POS</t>
  </si>
  <si>
    <t>Verificar que la aplicación cargue y se conecte correctamente: http://www3.loteria.com.ec/LNPOS</t>
  </si>
  <si>
    <r>
      <t xml:space="preserve">Copiar el contenido de la carpeta de </t>
    </r>
    <r>
      <rPr>
        <b/>
        <sz val="11"/>
        <color theme="1"/>
        <rFont val="Calibri"/>
        <family val="2"/>
        <scheme val="minor"/>
      </rPr>
      <t>LNPOS</t>
    </r>
    <r>
      <rPr>
        <sz val="11"/>
        <color theme="1"/>
        <rFont val="Calibri"/>
        <family val="2"/>
        <scheme val="minor"/>
      </rPr>
      <t xml:space="preserve"> del directorio de respaldo(ver comentarios) y pegarlo en el directorio de la aplicación IIS </t>
    </r>
    <r>
      <rPr>
        <b/>
        <sz val="11"/>
        <color theme="1"/>
        <rFont val="Calibri"/>
        <family val="2"/>
        <scheme val="minor"/>
      </rPr>
      <t>LNPOS</t>
    </r>
    <r>
      <rPr>
        <sz val="11"/>
        <color theme="1"/>
        <rFont val="Calibri"/>
        <family val="2"/>
        <scheme val="minor"/>
      </rPr>
      <t xml:space="preserve"> del Servidor </t>
    </r>
    <r>
      <rPr>
        <b/>
        <sz val="11"/>
        <color theme="1"/>
        <rFont val="Calibri"/>
        <family val="2"/>
        <scheme val="minor"/>
      </rPr>
      <t>SGYEDMZ03.</t>
    </r>
    <r>
      <rPr>
        <sz val="11"/>
        <color theme="1"/>
        <rFont val="Calibri"/>
        <family val="2"/>
        <scheme val="minor"/>
      </rPr>
      <t xml:space="preserve"> Usar la opción Copiar y Reemplazar(Esta acción significa que se copiaran encima los archivos reemplazando los archivos que coincidan y manteniendo los archivos no modificados). No dejar archivos renombrados.</t>
    </r>
  </si>
  <si>
    <r>
      <t xml:space="preserve">Respaldar el contenido del directorio de la aplicación IIS </t>
    </r>
    <r>
      <rPr>
        <b/>
        <sz val="11"/>
        <color theme="1"/>
        <rFont val="Calibri"/>
        <family val="2"/>
        <scheme val="minor"/>
      </rPr>
      <t>LNPOS</t>
    </r>
    <r>
      <rPr>
        <sz val="11"/>
        <color theme="1"/>
        <rFont val="Calibri"/>
        <family val="2"/>
        <scheme val="minor"/>
      </rPr>
      <t xml:space="preserve">(C:\inetpub\wwwroot\LNPOS) del servidor </t>
    </r>
    <r>
      <rPr>
        <b/>
        <sz val="11"/>
        <color theme="1"/>
        <rFont val="Calibri"/>
        <family val="2"/>
        <scheme val="minor"/>
      </rPr>
      <t>SGYEDMZ03</t>
    </r>
    <r>
      <rPr>
        <sz val="11"/>
        <color theme="1"/>
        <rFont val="Calibri"/>
        <family val="2"/>
        <scheme val="minor"/>
      </rPr>
      <t xml:space="preserve"> (DMZ): Copiar las carpetas bin, Areas, Content y el archivo web.config y pegar en el directorio de respaldo(ver comentarios) dentro de una carpera llamada </t>
    </r>
    <r>
      <rPr>
        <b/>
        <sz val="11"/>
        <color theme="1"/>
        <rFont val="Calibri"/>
        <family val="2"/>
        <scheme val="minor"/>
      </rPr>
      <t>LNPOS</t>
    </r>
    <r>
      <rPr>
        <sz val="11"/>
        <color theme="1"/>
        <rFont val="Calibri"/>
        <family val="2"/>
        <scheme val="minor"/>
      </rPr>
      <t>(Crear carpeta en caso de no existir)</t>
    </r>
  </si>
  <si>
    <r>
      <t xml:space="preserve">Respaldar el contenido del directorio de la aplicación IIS </t>
    </r>
    <r>
      <rPr>
        <b/>
        <sz val="11"/>
        <color theme="1"/>
        <rFont val="Calibri"/>
        <family val="2"/>
        <scheme val="minor"/>
      </rPr>
      <t>WSPOS</t>
    </r>
    <r>
      <rPr>
        <sz val="11"/>
        <color theme="1"/>
        <rFont val="Calibri"/>
        <family val="2"/>
        <scheme val="minor"/>
      </rPr>
      <t xml:space="preserve">(D:\Sistemas\WSPOS) del servidor </t>
    </r>
    <r>
      <rPr>
        <b/>
        <sz val="11"/>
        <color theme="1"/>
        <rFont val="Calibri"/>
        <family val="2"/>
        <scheme val="minor"/>
      </rPr>
      <t>JBG21WS13</t>
    </r>
    <r>
      <rPr>
        <sz val="11"/>
        <color theme="1"/>
        <rFont val="Calibri"/>
        <family val="2"/>
        <scheme val="minor"/>
      </rPr>
      <t xml:space="preserve">: Copiar las carpeta bin,  y el archivo web.config y pegar en el directorio de respaldo(ver comentarios) dentro de una carpera llamada </t>
    </r>
    <r>
      <rPr>
        <b/>
        <sz val="11"/>
        <color theme="1"/>
        <rFont val="Calibri"/>
        <family val="2"/>
        <scheme val="minor"/>
      </rPr>
      <t>WSPOS</t>
    </r>
    <r>
      <rPr>
        <sz val="11"/>
        <color theme="1"/>
        <rFont val="Calibri"/>
        <family val="2"/>
        <scheme val="minor"/>
      </rPr>
      <t>(Crear carpeta en caso de no existir)</t>
    </r>
  </si>
  <si>
    <r>
      <t>Copiar el contenido de la carpeta \WEB\</t>
    </r>
    <r>
      <rPr>
        <b/>
        <sz val="11"/>
        <color theme="1"/>
        <rFont val="Calibri"/>
        <family val="2"/>
        <scheme val="minor"/>
      </rPr>
      <t>LNPOS</t>
    </r>
    <r>
      <rPr>
        <sz val="11"/>
        <color theme="1"/>
        <rFont val="Calibri"/>
        <family val="2"/>
        <scheme val="minor"/>
      </rPr>
      <t xml:space="preserve">(ver comentarios) del directorio de actualización y pegarlo en el directorio de la aplicación IIS </t>
    </r>
    <r>
      <rPr>
        <b/>
        <sz val="11"/>
        <color theme="1"/>
        <rFont val="Calibri"/>
        <family val="2"/>
        <scheme val="minor"/>
      </rPr>
      <t>LNPOS</t>
    </r>
    <r>
      <rPr>
        <sz val="11"/>
        <color theme="1"/>
        <rFont val="Calibri"/>
        <family val="2"/>
        <scheme val="minor"/>
      </rPr>
      <t xml:space="preserve">(C:\inetpub\wwwroot\LNPOS) del servidor </t>
    </r>
    <r>
      <rPr>
        <b/>
        <sz val="11"/>
        <color theme="1"/>
        <rFont val="Calibri"/>
        <family val="2"/>
        <scheme val="minor"/>
      </rPr>
      <t>SGYDMZ03</t>
    </r>
    <r>
      <rPr>
        <sz val="11"/>
        <color theme="1"/>
        <rFont val="Calibri"/>
        <family val="2"/>
        <scheme val="minor"/>
      </rPr>
      <t>(DMZ). Usar la opción Copiar y Reemplazar(Esta acción significa que se copiaran encima los archivos reemplazando los archivos que coincidan y manteniendo los archivos no modificados). No dejar archivos renombrados</t>
    </r>
  </si>
  <si>
    <t xml:space="preserve">Modificar el archivo web.config del directorio de la aplicación IIS LNPOS (archivo existente en C:\inetpub\wwwroot\LNPOS): Buscar el atributo fileImportVersion y aumentarle en una unidad el valor actual. Nota: El valor actual del atributo no es importante, solo debe ser diferente al anterior(por eso se pide sumarle una unidad sin importar que valor este registrado actualmente). </t>
  </si>
  <si>
    <r>
      <t>Ejecutar los scripts del directorio /scripts/</t>
    </r>
    <r>
      <rPr>
        <b/>
        <sz val="11"/>
        <color theme="1"/>
        <rFont val="Calibri"/>
        <family val="2"/>
        <scheme val="minor"/>
      </rPr>
      <t xml:space="preserve">POS </t>
    </r>
    <r>
      <rPr>
        <sz val="11"/>
        <color theme="1"/>
        <rFont val="Calibri"/>
        <family val="2"/>
        <scheme val="minor"/>
      </rPr>
      <t xml:space="preserve">sobre la base de datos POS del Servidor </t>
    </r>
    <r>
      <rPr>
        <b/>
        <sz val="11"/>
        <color theme="1"/>
        <rFont val="Calibri"/>
        <family val="2"/>
        <scheme val="minor"/>
      </rPr>
      <t>JBG21DB14</t>
    </r>
    <r>
      <rPr>
        <sz val="11"/>
        <color theme="1"/>
        <rFont val="Calibri"/>
        <family val="2"/>
        <scheme val="minor"/>
      </rPr>
      <t>. Ejecutar en el orden en que se encuentran enumerados las carpetas y los archivos.</t>
    </r>
  </si>
  <si>
    <t>Directorio de Actualización: \\192.168.3.33\Actualizaciones\POS\2019\Releases\12-26 Reporte Control de Despósitos</t>
  </si>
  <si>
    <t>Directorio de Respaldo: \\JBG15DS03\Lot2k6\PasosAProduccion\Orden de Cambio 5009-FIX CONTROL DEPOSITOS\Respaldo</t>
  </si>
  <si>
    <t>IT</t>
  </si>
  <si>
    <t>OT</t>
  </si>
  <si>
    <t>Soporte</t>
  </si>
  <si>
    <t>FINANCIERO</t>
  </si>
  <si>
    <r>
      <t xml:space="preserve">Respaldar los objetos de base de datos en archivos de scripts: los archivos se encuentran en la carpeta /scripts. La carpeta contiene los archivos que afectan la Base de datos POS del servidor </t>
    </r>
    <r>
      <rPr>
        <b/>
        <sz val="11"/>
        <color theme="1"/>
        <rFont val="Calibri"/>
        <family val="2"/>
        <scheme val="minor"/>
      </rPr>
      <t>GYE21DB14</t>
    </r>
    <r>
      <rPr>
        <sz val="11"/>
        <color theme="1"/>
        <rFont val="Calibri"/>
        <family val="2"/>
        <scheme val="minor"/>
      </rPr>
      <t>. Respaldar los objetos en una carpeta de respaldo en el directorio /scripts/Respaldo (crear la carpeta si no existe).</t>
    </r>
  </si>
  <si>
    <r>
      <t>Copiar el contenido de la carpeta \WEB\</t>
    </r>
    <r>
      <rPr>
        <b/>
        <sz val="11"/>
        <color theme="1"/>
        <rFont val="Calibri"/>
        <family val="2"/>
        <scheme val="minor"/>
      </rPr>
      <t>WSPOS</t>
    </r>
    <r>
      <rPr>
        <sz val="11"/>
        <color theme="1"/>
        <rFont val="Calibri"/>
        <family val="2"/>
        <scheme val="minor"/>
      </rPr>
      <t xml:space="preserve"> del directorio de actualización(ver comentarios) y pegarlo en el directorio de la aplicación IIS </t>
    </r>
    <r>
      <rPr>
        <b/>
        <sz val="11"/>
        <color theme="1"/>
        <rFont val="Calibri"/>
        <family val="2"/>
        <scheme val="minor"/>
      </rPr>
      <t>WSPOS</t>
    </r>
    <r>
      <rPr>
        <sz val="11"/>
        <color theme="1"/>
        <rFont val="Calibri"/>
        <family val="2"/>
        <scheme val="minor"/>
      </rPr>
      <t xml:space="preserve">(D:\Sistemas\WSPOS) del servidor </t>
    </r>
    <r>
      <rPr>
        <b/>
        <sz val="11"/>
        <color theme="1"/>
        <rFont val="Calibri"/>
        <family val="2"/>
        <scheme val="minor"/>
      </rPr>
      <t>GYE21WS13</t>
    </r>
    <r>
      <rPr>
        <sz val="11"/>
        <color theme="1"/>
        <rFont val="Calibri"/>
        <family val="2"/>
        <scheme val="minor"/>
      </rPr>
      <t>. Usar la opción Copiar y Reemplazar(Esta acción significa que se copiaran encima los archivos reemplazando los archivos que coincidan y manteniendo los archivos no modificados). No dejar archivos renombrados.</t>
    </r>
  </si>
  <si>
    <t>Base de Datos(DBA)</t>
  </si>
  <si>
    <r>
      <t xml:space="preserve">Copiar el contenido de la carpeta de </t>
    </r>
    <r>
      <rPr>
        <b/>
        <sz val="11"/>
        <color theme="1"/>
        <rFont val="Calibri"/>
        <family val="2"/>
        <scheme val="minor"/>
      </rPr>
      <t>WSPOS</t>
    </r>
    <r>
      <rPr>
        <sz val="11"/>
        <color theme="1"/>
        <rFont val="Calibri"/>
        <family val="2"/>
        <scheme val="minor"/>
      </rPr>
      <t xml:space="preserve"> del directorio de respaldo(ver comentarios) y pegarlo en el directorio de la aplicación IIS </t>
    </r>
    <r>
      <rPr>
        <b/>
        <sz val="11"/>
        <color theme="1"/>
        <rFont val="Calibri"/>
        <family val="2"/>
        <scheme val="minor"/>
      </rPr>
      <t>WSPOS</t>
    </r>
    <r>
      <rPr>
        <sz val="11"/>
        <color theme="1"/>
        <rFont val="Calibri"/>
        <family val="2"/>
        <scheme val="minor"/>
      </rPr>
      <t xml:space="preserve"> del Servidor </t>
    </r>
    <r>
      <rPr>
        <b/>
        <sz val="11"/>
        <color theme="1"/>
        <rFont val="Calibri"/>
        <family val="2"/>
        <scheme val="minor"/>
      </rPr>
      <t>GYE21WS13</t>
    </r>
    <r>
      <rPr>
        <sz val="11"/>
        <color theme="1"/>
        <rFont val="Calibri"/>
        <family val="2"/>
        <scheme val="minor"/>
      </rPr>
      <t>. Usar la opción Copiar y Reemplazar(Esta acción significa que se copiaran encima los archivos reemplazando los archivos que coincidan y manteniendo los archivos no modificados). No dejar archivos renombrados.</t>
    </r>
  </si>
  <si>
    <t>PROYECTO: MODIFICACION OPCION  CONTABILIZACION DE GASTOS</t>
  </si>
  <si>
    <t>CHECKLIST PASO A PRODUCCION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</si>
</sst>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theme="1"/>
      <name val="Calibri"/>
      <family val="2"/>
      <scheme val="minor"/>
    </font>
    <font>
      <b/>
      <sz val="18"/>
      <name val="Arial"/>
      <family val="2"/>
    </font>
    <font>
      <b/>
      <sz val="10"/>
      <name val="Arial"/>
      <family val="2"/>
    </font>
    <font>
      <sz val="8"/>
      <name val="Arial"/>
      <family val="2"/>
    </font>
    <font>
      <b/>
      <sz val="14"/>
      <name val="Arial"/>
      <family val="2"/>
    </font>
    <font>
      <b/>
      <sz val="8"/>
      <name val="Arial"/>
      <family val="2"/>
    </font>
    <font>
      <b/>
      <sz val="12"/>
      <name val="Arial"/>
      <family val="2"/>
    </font>
    <font>
      <sz val="9"/>
      <name val="Arial"/>
      <family val="2"/>
    </font>
    <font>
      <b/>
      <sz val="12"/>
      <color rgb="FFFF0000"/>
      <name val="Arial"/>
      <family val="2"/>
    </font>
    <font>
      <b/>
      <sz val="8"/>
      <color rgb="FFFF0000"/>
      <name val="Arial"/>
      <family val="2"/>
    </font>
    <font>
      <b/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10"/>
      <color theme="1"/>
      <name val="Arial"/>
      <family val="2"/>
    </font>
    <font>
      <sz val="8"/>
      <color theme="1"/>
      <name val="Arial"/>
      <family val="2"/>
    </font>
    <font>
      <b/>
      <sz val="22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51"/>
        <bgColor indexed="64"/>
      </patternFill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73">
    <xf numFmtId="0" fontId="0" fillId="0" borderId="0" xfId="0"/>
    <xf numFmtId="0" fontId="3" fillId="0" borderId="1" xfId="0" applyFont="1" applyFill="1" applyBorder="1" applyAlignment="1">
      <alignment vertical="top"/>
    </xf>
    <xf numFmtId="14" fontId="3" fillId="0" borderId="1" xfId="0" applyNumberFormat="1" applyFont="1" applyFill="1" applyBorder="1" applyAlignment="1">
      <alignment horizontal="center" vertical="top"/>
    </xf>
    <xf numFmtId="20" fontId="3" fillId="0" borderId="1" xfId="0" applyNumberFormat="1" applyFont="1" applyBorder="1" applyAlignment="1">
      <alignment horizontal="center" vertical="top"/>
    </xf>
    <xf numFmtId="20" fontId="3" fillId="0" borderId="1" xfId="0" applyNumberFormat="1" applyFont="1" applyFill="1" applyBorder="1" applyAlignment="1">
      <alignment horizontal="center" vertical="top"/>
    </xf>
    <xf numFmtId="0" fontId="0" fillId="0" borderId="0" xfId="0" applyAlignment="1"/>
    <xf numFmtId="49" fontId="3" fillId="0" borderId="1" xfId="0" applyNumberFormat="1" applyFont="1" applyFill="1" applyBorder="1" applyAlignment="1">
      <alignment horizontal="left" vertical="top"/>
    </xf>
    <xf numFmtId="20" fontId="3" fillId="0" borderId="1" xfId="0" applyNumberFormat="1" applyFont="1" applyFill="1" applyBorder="1" applyAlignment="1">
      <alignment horizontal="left" vertical="top"/>
    </xf>
    <xf numFmtId="0" fontId="0" fillId="0" borderId="1" xfId="0" applyBorder="1" applyAlignment="1"/>
    <xf numFmtId="49" fontId="3" fillId="0" borderId="3" xfId="0" applyNumberFormat="1" applyFont="1" applyFill="1" applyBorder="1" applyAlignment="1">
      <alignment horizontal="left" vertical="top"/>
    </xf>
    <xf numFmtId="0" fontId="3" fillId="0" borderId="3" xfId="0" applyFont="1" applyFill="1" applyBorder="1" applyAlignment="1">
      <alignment vertical="top"/>
    </xf>
    <xf numFmtId="14" fontId="3" fillId="0" borderId="3" xfId="0" applyNumberFormat="1" applyFont="1" applyFill="1" applyBorder="1" applyAlignment="1">
      <alignment horizontal="center" vertical="top"/>
    </xf>
    <xf numFmtId="20" fontId="3" fillId="0" borderId="3" xfId="0" applyNumberFormat="1" applyFont="1" applyBorder="1" applyAlignment="1">
      <alignment horizontal="center" vertical="top"/>
    </xf>
    <xf numFmtId="20" fontId="3" fillId="0" borderId="3" xfId="0" applyNumberFormat="1" applyFont="1" applyFill="1" applyBorder="1" applyAlignment="1">
      <alignment horizontal="center" vertical="top"/>
    </xf>
    <xf numFmtId="20" fontId="3" fillId="0" borderId="3" xfId="0" applyNumberFormat="1" applyFont="1" applyFill="1" applyBorder="1" applyAlignment="1">
      <alignment horizontal="left" vertical="top"/>
    </xf>
    <xf numFmtId="49" fontId="3" fillId="0" borderId="1" xfId="0" applyNumberFormat="1" applyFont="1" applyFill="1" applyBorder="1" applyAlignment="1">
      <alignment horizontal="left" vertical="top" wrapText="1"/>
    </xf>
    <xf numFmtId="0" fontId="3" fillId="0" borderId="1" xfId="0" applyFont="1" applyFill="1" applyBorder="1" applyAlignment="1">
      <alignment horizontal="center" vertical="top"/>
    </xf>
    <xf numFmtId="0" fontId="3" fillId="0" borderId="2" xfId="0" applyFont="1" applyFill="1" applyBorder="1" applyAlignment="1">
      <alignment horizontal="center" vertical="top"/>
    </xf>
    <xf numFmtId="0" fontId="2" fillId="3" borderId="1" xfId="0" applyFont="1" applyFill="1" applyBorder="1" applyAlignment="1">
      <alignment vertical="top"/>
    </xf>
    <xf numFmtId="0" fontId="2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top" wrapText="1"/>
    </xf>
    <xf numFmtId="0" fontId="2" fillId="3" borderId="1" xfId="0" applyFont="1" applyFill="1" applyBorder="1" applyAlignment="1">
      <alignment horizontal="center" vertical="top"/>
    </xf>
    <xf numFmtId="0" fontId="3" fillId="0" borderId="1" xfId="0" applyNumberFormat="1" applyFont="1" applyFill="1" applyBorder="1" applyAlignment="1">
      <alignment horizontal="left" vertical="top" wrapText="1"/>
    </xf>
    <xf numFmtId="49" fontId="3" fillId="0" borderId="1" xfId="0" applyNumberFormat="1" applyFont="1" applyFill="1" applyBorder="1" applyAlignment="1">
      <alignment horizontal="center" vertical="center"/>
    </xf>
    <xf numFmtId="49" fontId="3" fillId="0" borderId="1" xfId="0" applyNumberFormat="1" applyFont="1" applyFill="1" applyBorder="1" applyAlignment="1">
      <alignment horizontal="center" vertical="center" wrapText="1"/>
    </xf>
    <xf numFmtId="20" fontId="3" fillId="0" borderId="1" xfId="0" applyNumberFormat="1" applyFont="1" applyBorder="1" applyAlignment="1">
      <alignment horizontal="center" vertical="center"/>
    </xf>
    <xf numFmtId="20" fontId="3" fillId="0" borderId="1" xfId="0" applyNumberFormat="1" applyFont="1" applyFill="1" applyBorder="1" applyAlignment="1">
      <alignment horizontal="center" vertical="center"/>
    </xf>
    <xf numFmtId="49" fontId="3" fillId="0" borderId="1" xfId="0" applyNumberFormat="1" applyFont="1" applyFill="1" applyBorder="1" applyAlignment="1">
      <alignment horizontal="left" vertical="center"/>
    </xf>
    <xf numFmtId="0" fontId="0" fillId="0" borderId="1" xfId="0" applyBorder="1"/>
    <xf numFmtId="0" fontId="10" fillId="0" borderId="1" xfId="0" applyFont="1" applyBorder="1" applyAlignment="1">
      <alignment horizontal="center" vertical="center"/>
    </xf>
    <xf numFmtId="0" fontId="12" fillId="0" borderId="0" xfId="0" applyFont="1" applyFill="1" applyAlignment="1"/>
    <xf numFmtId="0" fontId="2" fillId="0" borderId="1" xfId="0" applyFont="1" applyFill="1" applyBorder="1" applyAlignment="1">
      <alignment horizontal="center" vertical="center" wrapText="1"/>
    </xf>
    <xf numFmtId="20" fontId="3" fillId="0" borderId="1" xfId="0" applyNumberFormat="1" applyFont="1" applyFill="1" applyBorder="1" applyAlignment="1">
      <alignment horizontal="left" vertical="top" wrapText="1"/>
    </xf>
    <xf numFmtId="0" fontId="2" fillId="3" borderId="1" xfId="0" applyFont="1" applyFill="1" applyBorder="1" applyAlignment="1">
      <alignment horizontal="center" vertical="center" wrapText="1"/>
    </xf>
    <xf numFmtId="49" fontId="3" fillId="0" borderId="1" xfId="0" applyNumberFormat="1" applyFont="1" applyFill="1" applyBorder="1" applyAlignment="1">
      <alignment horizontal="center" vertical="center"/>
    </xf>
    <xf numFmtId="0" fontId="12" fillId="0" borderId="0" xfId="0" applyFont="1" applyFill="1" applyAlignment="1"/>
    <xf numFmtId="0" fontId="2" fillId="0" borderId="1" xfId="0" applyFont="1" applyFill="1" applyBorder="1" applyAlignment="1">
      <alignment horizontal="center" vertical="center" wrapText="1"/>
    </xf>
    <xf numFmtId="20" fontId="3" fillId="0" borderId="1" xfId="0" applyNumberFormat="1" applyFont="1" applyFill="1" applyBorder="1" applyAlignment="1">
      <alignment horizontal="left" vertical="top" wrapText="1"/>
    </xf>
    <xf numFmtId="0" fontId="2" fillId="0" borderId="1" xfId="0" applyFont="1" applyBorder="1" applyAlignment="1">
      <alignment horizontal="center" vertical="center" wrapText="1"/>
    </xf>
    <xf numFmtId="20" fontId="3" fillId="0" borderId="1" xfId="0" applyNumberFormat="1" applyFont="1" applyBorder="1" applyAlignment="1">
      <alignment horizontal="left" vertical="top" wrapText="1"/>
    </xf>
    <xf numFmtId="0" fontId="12" fillId="0" borderId="0" xfId="0" applyFont="1"/>
    <xf numFmtId="0" fontId="12" fillId="0" borderId="1" xfId="0" applyFont="1" applyBorder="1" applyAlignment="1">
      <alignment vertical="center"/>
    </xf>
    <xf numFmtId="0" fontId="12" fillId="0" borderId="1" xfId="0" applyFont="1" applyFill="1" applyBorder="1" applyAlignment="1">
      <alignment vertical="center"/>
    </xf>
    <xf numFmtId="20" fontId="3" fillId="0" borderId="3" xfId="0" applyNumberFormat="1" applyFont="1" applyFill="1" applyBorder="1" applyAlignment="1">
      <alignment horizontal="center" vertical="center"/>
    </xf>
    <xf numFmtId="20" fontId="3" fillId="0" borderId="1" xfId="0" applyNumberFormat="1" applyFont="1" applyFill="1" applyBorder="1" applyAlignment="1">
      <alignment horizontal="left" vertical="center" wrapText="1"/>
    </xf>
    <xf numFmtId="0" fontId="0" fillId="0" borderId="1" xfId="0" applyBorder="1" applyAlignment="1">
      <alignment vertical="center"/>
    </xf>
    <xf numFmtId="0" fontId="0" fillId="0" borderId="0" xfId="0" applyAlignment="1">
      <alignment vertical="center"/>
    </xf>
    <xf numFmtId="49" fontId="3" fillId="0" borderId="1" xfId="0" applyNumberFormat="1" applyFont="1" applyBorder="1" applyAlignment="1">
      <alignment horizontal="center" vertical="center" wrapText="1"/>
    </xf>
    <xf numFmtId="0" fontId="3" fillId="0" borderId="3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14" fontId="3" fillId="0" borderId="1" xfId="0" applyNumberFormat="1" applyFont="1" applyBorder="1" applyAlignment="1">
      <alignment horizontal="center" vertical="center"/>
    </xf>
    <xf numFmtId="14" fontId="3" fillId="0" borderId="3" xfId="0" applyNumberFormat="1" applyFont="1" applyFill="1" applyBorder="1" applyAlignment="1">
      <alignment horizontal="center" vertical="center"/>
    </xf>
    <xf numFmtId="20" fontId="3" fillId="0" borderId="3" xfId="0" applyNumberFormat="1" applyFont="1" applyBorder="1" applyAlignment="1">
      <alignment horizontal="center" vertical="center"/>
    </xf>
    <xf numFmtId="49" fontId="0" fillId="0" borderId="1" xfId="0" applyNumberFormat="1" applyFill="1" applyBorder="1" applyAlignment="1">
      <alignment horizontal="left" vertical="center" wrapText="1"/>
    </xf>
    <xf numFmtId="49" fontId="3" fillId="0" borderId="3" xfId="0" applyNumberFormat="1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/>
    </xf>
    <xf numFmtId="0" fontId="0" fillId="0" borderId="0" xfId="0" applyAlignment="1">
      <alignment horizontal="left" vertical="center" wrapText="1"/>
    </xf>
    <xf numFmtId="0" fontId="0" fillId="0" borderId="1" xfId="0" applyBorder="1" applyAlignment="1">
      <alignment horizontal="left" vertical="center" wrapText="1"/>
    </xf>
    <xf numFmtId="0" fontId="0" fillId="0" borderId="1" xfId="0" applyFill="1" applyBorder="1" applyAlignment="1">
      <alignment horizontal="left" vertical="center" wrapText="1"/>
    </xf>
    <xf numFmtId="0" fontId="11" fillId="0" borderId="0" xfId="0" applyFont="1" applyAlignment="1">
      <alignment horizontal="left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20" fontId="13" fillId="0" borderId="1" xfId="0" applyNumberFormat="1" applyFont="1" applyFill="1" applyBorder="1" applyAlignment="1">
      <alignment horizontal="center" vertical="center"/>
    </xf>
    <xf numFmtId="20" fontId="11" fillId="0" borderId="1" xfId="0" applyNumberFormat="1" applyFont="1" applyBorder="1" applyAlignment="1">
      <alignment horizontal="center" vertical="center"/>
    </xf>
    <xf numFmtId="0" fontId="0" fillId="0" borderId="5" xfId="0" applyBorder="1" applyAlignment="1">
      <alignment horizontal="left" vertical="center" wrapText="1"/>
    </xf>
    <xf numFmtId="0" fontId="15" fillId="0" borderId="0" xfId="0" applyFont="1" applyAlignment="1">
      <alignment horizontal="left" vertical="center"/>
    </xf>
    <xf numFmtId="0" fontId="1" fillId="0" borderId="0" xfId="0" applyFont="1" applyAlignment="1">
      <alignment horizontal="center"/>
    </xf>
    <xf numFmtId="0" fontId="4" fillId="2" borderId="2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10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20</xdr:row>
      <xdr:rowOff>0</xdr:rowOff>
    </xdr:from>
    <xdr:to>
      <xdr:col>9</xdr:col>
      <xdr:colOff>304800</xdr:colOff>
      <xdr:row>21</xdr:row>
      <xdr:rowOff>114300</xdr:rowOff>
    </xdr:to>
    <xdr:sp macro="" textlink="">
      <xdr:nvSpPr>
        <xdr:cNvPr id="1025" name="AutoShape 1">
          <a:extLst>
            <a:ext uri="{FF2B5EF4-FFF2-40B4-BE49-F238E27FC236}">
              <a16:creationId xmlns:a16="http://schemas.microsoft.com/office/drawing/2014/main" id="{1E51149A-30C0-4490-8CD5-895910DC70BF}"/>
            </a:ext>
          </a:extLst>
        </xdr:cNvPr>
        <xdr:cNvSpPr>
          <a:spLocks noChangeAspect="1" noChangeArrowheads="1"/>
        </xdr:cNvSpPr>
      </xdr:nvSpPr>
      <xdr:spPr bwMode="auto">
        <a:xfrm>
          <a:off x="12392025" y="33356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9</xdr:col>
      <xdr:colOff>0</xdr:colOff>
      <xdr:row>20</xdr:row>
      <xdr:rowOff>0</xdr:rowOff>
    </xdr:from>
    <xdr:to>
      <xdr:col>9</xdr:col>
      <xdr:colOff>304800</xdr:colOff>
      <xdr:row>21</xdr:row>
      <xdr:rowOff>114300</xdr:rowOff>
    </xdr:to>
    <xdr:sp macro="" textlink="">
      <xdr:nvSpPr>
        <xdr:cNvPr id="1026" name="AutoShape 2">
          <a:extLst>
            <a:ext uri="{FF2B5EF4-FFF2-40B4-BE49-F238E27FC236}">
              <a16:creationId xmlns:a16="http://schemas.microsoft.com/office/drawing/2014/main" id="{FCA549C6-45AB-4C19-A5ED-3C8AEC0BCBB4}"/>
            </a:ext>
          </a:extLst>
        </xdr:cNvPr>
        <xdr:cNvSpPr>
          <a:spLocks noChangeAspect="1" noChangeArrowheads="1"/>
        </xdr:cNvSpPr>
      </xdr:nvSpPr>
      <xdr:spPr bwMode="auto">
        <a:xfrm>
          <a:off x="12392025" y="33356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9</xdr:col>
      <xdr:colOff>0</xdr:colOff>
      <xdr:row>20</xdr:row>
      <xdr:rowOff>0</xdr:rowOff>
    </xdr:from>
    <xdr:to>
      <xdr:col>9</xdr:col>
      <xdr:colOff>304800</xdr:colOff>
      <xdr:row>21</xdr:row>
      <xdr:rowOff>114300</xdr:rowOff>
    </xdr:to>
    <xdr:sp macro="" textlink="">
      <xdr:nvSpPr>
        <xdr:cNvPr id="1027" name="AutoShape 3">
          <a:extLst>
            <a:ext uri="{FF2B5EF4-FFF2-40B4-BE49-F238E27FC236}">
              <a16:creationId xmlns:a16="http://schemas.microsoft.com/office/drawing/2014/main" id="{BE9FEEA7-274D-4760-A55F-4EEE72F54F9C}"/>
            </a:ext>
          </a:extLst>
        </xdr:cNvPr>
        <xdr:cNvSpPr>
          <a:spLocks noChangeAspect="1" noChangeArrowheads="1"/>
        </xdr:cNvSpPr>
      </xdr:nvSpPr>
      <xdr:spPr bwMode="auto">
        <a:xfrm>
          <a:off x="12392025" y="33356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9</xdr:col>
      <xdr:colOff>34636</xdr:colOff>
      <xdr:row>9</xdr:row>
      <xdr:rowOff>34636</xdr:rowOff>
    </xdr:from>
    <xdr:ext cx="7839635" cy="862853"/>
    <xdr:pic>
      <xdr:nvPicPr>
        <xdr:cNvPr id="6" name="Imagen 5">
          <a:extLst>
            <a:ext uri="{FF2B5EF4-FFF2-40B4-BE49-F238E27FC236}">
              <a16:creationId xmlns:a16="http://schemas.microsoft.com/office/drawing/2014/main" id="{B39C03F9-8AF2-4B4F-A345-BE1D93FE05C9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b="14668"/>
        <a:stretch/>
      </xdr:blipFill>
      <xdr:spPr bwMode="auto">
        <a:xfrm>
          <a:off x="12434454" y="5957454"/>
          <a:ext cx="7839635" cy="86285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1</xdr:col>
      <xdr:colOff>231321</xdr:colOff>
      <xdr:row>0</xdr:row>
      <xdr:rowOff>272143</xdr:rowOff>
    </xdr:from>
    <xdr:to>
      <xdr:col>1</xdr:col>
      <xdr:colOff>2039166</xdr:colOff>
      <xdr:row>1</xdr:row>
      <xdr:rowOff>146050</xdr:rowOff>
    </xdr:to>
    <xdr:pic>
      <xdr:nvPicPr>
        <xdr:cNvPr id="7" name="image6.png">
          <a:extLst>
            <a:ext uri="{FF2B5EF4-FFF2-40B4-BE49-F238E27FC236}">
              <a16:creationId xmlns:a16="http://schemas.microsoft.com/office/drawing/2014/main" id="{C2C5839F-81FD-46BD-A3C2-3C8914A824D5}"/>
            </a:ext>
          </a:extLst>
        </xdr:cNvPr>
        <xdr:cNvPicPr/>
      </xdr:nvPicPr>
      <xdr:blipFill>
        <a:blip xmlns:r="http://schemas.openxmlformats.org/officeDocument/2006/relationships" r:embed="rId2"/>
        <a:srcRect/>
        <a:stretch>
          <a:fillRect/>
        </a:stretch>
      </xdr:blipFill>
      <xdr:spPr>
        <a:xfrm>
          <a:off x="653142" y="272143"/>
          <a:ext cx="1807845" cy="527050"/>
        </a:xfrm>
        <a:prstGeom prst="rect">
          <a:avLst/>
        </a:prstGeom>
        <a:ln/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>
    <pageSetUpPr fitToPage="1"/>
  </sheetPr>
  <dimension ref="A1:J20"/>
  <sheetViews>
    <sheetView tabSelected="1" zoomScale="70" zoomScaleNormal="70" workbookViewId="0">
      <selection activeCell="B10" sqref="B10"/>
    </sheetView>
  </sheetViews>
  <sheetFormatPr baseColWidth="10" defaultColWidth="11.42578125" defaultRowHeight="15" x14ac:dyDescent="0.25"/>
  <cols>
    <col min="1" max="1" width="6.28515625" style="50" bestFit="1" customWidth="1"/>
    <col min="2" max="2" width="102.85546875" style="60" customWidth="1"/>
    <col min="3" max="3" width="15.140625" style="50" customWidth="1"/>
    <col min="4" max="4" width="14.85546875" style="50" bestFit="1" customWidth="1"/>
    <col min="5" max="5" width="7.5703125" style="50" customWidth="1"/>
    <col min="6" max="6" width="6.85546875" style="50" bestFit="1" customWidth="1"/>
    <col min="7" max="7" width="16.7109375" style="47" customWidth="1"/>
    <col min="8" max="8" width="12.42578125" style="5" bestFit="1" customWidth="1"/>
    <col min="9" max="9" width="14" style="5" bestFit="1" customWidth="1"/>
    <col min="10" max="10" width="118.28515625" style="5" customWidth="1"/>
    <col min="11" max="16384" width="11.42578125" style="5"/>
  </cols>
  <sheetData>
    <row r="1" spans="1:10" ht="51" customHeight="1" x14ac:dyDescent="0.25"/>
    <row r="2" spans="1:10" ht="30.75" customHeight="1" x14ac:dyDescent="0.25">
      <c r="C2" s="71" t="s">
        <v>83</v>
      </c>
      <c r="D2" s="71"/>
      <c r="E2" s="71"/>
      <c r="F2" s="71"/>
      <c r="G2" s="71"/>
      <c r="H2" s="71"/>
      <c r="I2" s="71"/>
    </row>
    <row r="3" spans="1:10" x14ac:dyDescent="0.25">
      <c r="B3" s="66" t="s">
        <v>82</v>
      </c>
    </row>
    <row r="4" spans="1:10" ht="23.25" x14ac:dyDescent="0.35">
      <c r="A4" s="67" t="s">
        <v>3</v>
      </c>
      <c r="B4" s="67"/>
      <c r="C4" s="67"/>
      <c r="D4" s="67"/>
      <c r="E4" s="67"/>
      <c r="F4" s="67"/>
      <c r="G4" s="67"/>
      <c r="H4" s="67"/>
      <c r="I4" s="67"/>
      <c r="J4" s="67"/>
    </row>
    <row r="5" spans="1:10" ht="38.25" x14ac:dyDescent="0.25">
      <c r="A5" s="19" t="s">
        <v>0</v>
      </c>
      <c r="B5" s="56" t="s">
        <v>1</v>
      </c>
      <c r="C5" s="34" t="s">
        <v>10</v>
      </c>
      <c r="D5" s="34" t="s">
        <v>12</v>
      </c>
      <c r="E5" s="34" t="s">
        <v>9</v>
      </c>
      <c r="F5" s="34" t="s">
        <v>13</v>
      </c>
      <c r="G5" s="34" t="s">
        <v>7</v>
      </c>
      <c r="H5" s="20" t="s">
        <v>8</v>
      </c>
      <c r="I5" s="20" t="s">
        <v>11</v>
      </c>
      <c r="J5" s="19" t="s">
        <v>2</v>
      </c>
    </row>
    <row r="6" spans="1:10" s="41" customFormat="1" ht="45" x14ac:dyDescent="0.2">
      <c r="A6" s="61">
        <v>1</v>
      </c>
      <c r="B6" s="57" t="s">
        <v>78</v>
      </c>
      <c r="C6" s="48" t="s">
        <v>80</v>
      </c>
      <c r="D6" s="51">
        <v>43832</v>
      </c>
      <c r="E6" s="26">
        <v>0.9375</v>
      </c>
      <c r="F6" s="26">
        <f t="shared" ref="F6:F13" si="0">E6+I6</f>
        <v>0.94791666666666663</v>
      </c>
      <c r="G6" s="42" t="s">
        <v>77</v>
      </c>
      <c r="H6" s="39" t="s">
        <v>64</v>
      </c>
      <c r="I6" s="26">
        <v>1.0416666666666666E-2</v>
      </c>
      <c r="J6" s="40" t="s">
        <v>72</v>
      </c>
    </row>
    <row r="7" spans="1:10" s="41" customFormat="1" ht="30" x14ac:dyDescent="0.2">
      <c r="A7" s="61">
        <v>2</v>
      </c>
      <c r="B7" s="58" t="s">
        <v>71</v>
      </c>
      <c r="C7" s="48" t="s">
        <v>80</v>
      </c>
      <c r="D7" s="51">
        <v>43832</v>
      </c>
      <c r="E7" s="26">
        <f>F6</f>
        <v>0.94791666666666663</v>
      </c>
      <c r="F7" s="26">
        <f t="shared" si="0"/>
        <v>0.95138888888888884</v>
      </c>
      <c r="G7" s="42" t="s">
        <v>77</v>
      </c>
      <c r="H7" s="39" t="s">
        <v>64</v>
      </c>
      <c r="I7" s="26">
        <v>3.472222222222222E-3</v>
      </c>
      <c r="J7" s="40" t="s">
        <v>72</v>
      </c>
    </row>
    <row r="8" spans="1:10" s="31" customFormat="1" ht="45" x14ac:dyDescent="0.2">
      <c r="A8" s="62">
        <v>3</v>
      </c>
      <c r="B8" s="54" t="s">
        <v>67</v>
      </c>
      <c r="C8" s="35" t="s">
        <v>74</v>
      </c>
      <c r="D8" s="51">
        <v>43832</v>
      </c>
      <c r="E8" s="26">
        <v>0.9375</v>
      </c>
      <c r="F8" s="26">
        <f t="shared" si="0"/>
        <v>0.94097222222222221</v>
      </c>
      <c r="G8" s="42" t="s">
        <v>77</v>
      </c>
      <c r="H8" s="32" t="s">
        <v>64</v>
      </c>
      <c r="I8" s="26">
        <v>3.472222222222222E-3</v>
      </c>
      <c r="J8" s="33" t="s">
        <v>73</v>
      </c>
    </row>
    <row r="9" spans="1:10" s="31" customFormat="1" ht="60" x14ac:dyDescent="0.2">
      <c r="A9" s="62">
        <v>4</v>
      </c>
      <c r="B9" s="59" t="s">
        <v>69</v>
      </c>
      <c r="C9" s="35" t="s">
        <v>74</v>
      </c>
      <c r="D9" s="51">
        <v>43832</v>
      </c>
      <c r="E9" s="63">
        <f>F8</f>
        <v>0.94097222222222221</v>
      </c>
      <c r="F9" s="26">
        <f t="shared" si="0"/>
        <v>0.94444444444444442</v>
      </c>
      <c r="G9" s="42" t="s">
        <v>77</v>
      </c>
      <c r="H9" s="32" t="s">
        <v>64</v>
      </c>
      <c r="I9" s="26">
        <v>3.472222222222222E-3</v>
      </c>
      <c r="J9" s="40" t="s">
        <v>72</v>
      </c>
    </row>
    <row r="10" spans="1:10" s="36" customFormat="1" ht="72.75" customHeight="1" x14ac:dyDescent="0.2">
      <c r="A10" s="62">
        <v>5</v>
      </c>
      <c r="B10" s="59" t="s">
        <v>70</v>
      </c>
      <c r="C10" s="35" t="s">
        <v>74</v>
      </c>
      <c r="D10" s="51">
        <v>43832</v>
      </c>
      <c r="E10" s="63">
        <f t="shared" ref="E10:E13" si="1">F9</f>
        <v>0.94444444444444442</v>
      </c>
      <c r="F10" s="26">
        <f t="shared" si="0"/>
        <v>0.94791666666666663</v>
      </c>
      <c r="G10" s="42" t="s">
        <v>77</v>
      </c>
      <c r="H10" s="37" t="s">
        <v>64</v>
      </c>
      <c r="I10" s="26">
        <v>3.472222222222222E-3</v>
      </c>
      <c r="J10" s="40"/>
    </row>
    <row r="11" spans="1:10" s="31" customFormat="1" ht="45" x14ac:dyDescent="0.2">
      <c r="A11" s="62">
        <v>6</v>
      </c>
      <c r="B11" s="54" t="s">
        <v>68</v>
      </c>
      <c r="C11" s="35" t="s">
        <v>74</v>
      </c>
      <c r="D11" s="51">
        <v>43832</v>
      </c>
      <c r="E11" s="63">
        <f t="shared" si="1"/>
        <v>0.94791666666666663</v>
      </c>
      <c r="F11" s="26">
        <f t="shared" si="0"/>
        <v>0.95138888888888884</v>
      </c>
      <c r="G11" s="42" t="s">
        <v>77</v>
      </c>
      <c r="H11" s="32" t="s">
        <v>64</v>
      </c>
      <c r="I11" s="26">
        <v>3.472222222222222E-3</v>
      </c>
      <c r="J11" s="38" t="s">
        <v>73</v>
      </c>
    </row>
    <row r="12" spans="1:10" s="31" customFormat="1" ht="60" x14ac:dyDescent="0.2">
      <c r="A12" s="62">
        <v>7</v>
      </c>
      <c r="B12" s="59" t="s">
        <v>79</v>
      </c>
      <c r="C12" s="35" t="s">
        <v>75</v>
      </c>
      <c r="D12" s="51">
        <v>43832</v>
      </c>
      <c r="E12" s="63">
        <f t="shared" si="1"/>
        <v>0.95138888888888884</v>
      </c>
      <c r="F12" s="26">
        <f t="shared" si="0"/>
        <v>0.95486111111111105</v>
      </c>
      <c r="G12" s="42" t="s">
        <v>77</v>
      </c>
      <c r="H12" s="32" t="s">
        <v>64</v>
      </c>
      <c r="I12" s="26">
        <v>3.472222222222222E-3</v>
      </c>
      <c r="J12" s="40" t="s">
        <v>72</v>
      </c>
    </row>
    <row r="13" spans="1:10" s="31" customFormat="1" x14ac:dyDescent="0.2">
      <c r="A13" s="62">
        <v>8</v>
      </c>
      <c r="B13" s="59" t="s">
        <v>65</v>
      </c>
      <c r="C13" s="35" t="s">
        <v>76</v>
      </c>
      <c r="D13" s="51">
        <v>43832</v>
      </c>
      <c r="E13" s="63">
        <f t="shared" si="1"/>
        <v>0.95486111111111105</v>
      </c>
      <c r="F13" s="26">
        <f t="shared" si="0"/>
        <v>0.95833333333333326</v>
      </c>
      <c r="G13" s="42" t="s">
        <v>77</v>
      </c>
      <c r="H13" s="32" t="s">
        <v>64</v>
      </c>
      <c r="I13" s="26">
        <v>3.472222222222222E-3</v>
      </c>
      <c r="J13" s="38"/>
    </row>
    <row r="14" spans="1:10" s="31" customFormat="1" x14ac:dyDescent="0.2">
      <c r="A14" s="62"/>
      <c r="B14" s="58"/>
      <c r="C14" s="35"/>
      <c r="D14" s="51"/>
      <c r="E14" s="63"/>
      <c r="F14" s="26"/>
      <c r="G14" s="43"/>
      <c r="H14" s="32"/>
      <c r="I14" s="26"/>
      <c r="J14" s="33"/>
    </row>
    <row r="15" spans="1:10" s="31" customFormat="1" x14ac:dyDescent="0.2">
      <c r="A15" s="62"/>
      <c r="B15" s="65"/>
      <c r="C15" s="35"/>
      <c r="D15" s="51"/>
      <c r="E15" s="63"/>
      <c r="F15" s="26"/>
      <c r="G15" s="43"/>
      <c r="H15" s="32"/>
      <c r="I15" s="26"/>
      <c r="J15" s="33"/>
    </row>
    <row r="16" spans="1:10" s="31" customFormat="1" ht="12.75" x14ac:dyDescent="0.2">
      <c r="A16" s="62"/>
      <c r="B16" s="55"/>
      <c r="C16" s="49"/>
      <c r="D16" s="52"/>
      <c r="E16" s="53"/>
      <c r="F16" s="44"/>
      <c r="G16" s="44"/>
      <c r="H16" s="13"/>
      <c r="I16" s="13"/>
      <c r="J16" s="14"/>
    </row>
    <row r="17" spans="1:10" s="31" customFormat="1" ht="18" x14ac:dyDescent="0.2">
      <c r="A17" s="68" t="s">
        <v>5</v>
      </c>
      <c r="B17" s="69"/>
      <c r="C17" s="69"/>
      <c r="D17" s="69"/>
      <c r="E17" s="69"/>
      <c r="F17" s="69"/>
      <c r="G17" s="69"/>
      <c r="H17" s="69"/>
      <c r="I17" s="69"/>
      <c r="J17" s="70"/>
    </row>
    <row r="18" spans="1:10" ht="60" x14ac:dyDescent="0.25">
      <c r="A18" s="62">
        <v>1</v>
      </c>
      <c r="B18" s="59" t="s">
        <v>66</v>
      </c>
      <c r="C18" s="35" t="s">
        <v>74</v>
      </c>
      <c r="D18" s="51">
        <v>43832</v>
      </c>
      <c r="E18" s="27">
        <v>0.95833333333333337</v>
      </c>
      <c r="F18" s="27">
        <f>E18+I18</f>
        <v>0.96180555555555558</v>
      </c>
      <c r="G18" s="45"/>
      <c r="H18" s="8"/>
      <c r="I18" s="26">
        <v>3.472222222222222E-3</v>
      </c>
      <c r="J18" s="38" t="s">
        <v>73</v>
      </c>
    </row>
    <row r="19" spans="1:10" ht="60" x14ac:dyDescent="0.25">
      <c r="A19" s="62">
        <v>2</v>
      </c>
      <c r="B19" s="59" t="s">
        <v>81</v>
      </c>
      <c r="C19" s="35" t="s">
        <v>74</v>
      </c>
      <c r="D19" s="51">
        <v>43832</v>
      </c>
      <c r="E19" s="64">
        <f>F18</f>
        <v>0.96180555555555558</v>
      </c>
      <c r="F19" s="27">
        <f>E19+I19</f>
        <v>0.96527777777777779</v>
      </c>
      <c r="G19" s="46"/>
      <c r="H19" s="8"/>
      <c r="I19" s="26">
        <v>3.472222222222222E-3</v>
      </c>
      <c r="J19" s="38" t="s">
        <v>73</v>
      </c>
    </row>
    <row r="20" spans="1:10" x14ac:dyDescent="0.25">
      <c r="A20" s="62"/>
      <c r="B20" s="59"/>
      <c r="C20" s="35"/>
      <c r="D20" s="51"/>
      <c r="E20" s="64"/>
      <c r="F20" s="27"/>
      <c r="G20" s="46"/>
      <c r="H20" s="8"/>
      <c r="I20" s="26"/>
      <c r="J20" s="38"/>
    </row>
  </sheetData>
  <mergeCells count="3">
    <mergeCell ref="A4:J4"/>
    <mergeCell ref="A17:J17"/>
    <mergeCell ref="C2:I2"/>
  </mergeCells>
  <pageMargins left="0.19685039370078741" right="0.19685039370078741" top="0.74803149606299213" bottom="0.74803149606299213" header="0.31496062992125984" footer="0.31496062992125984"/>
  <pageSetup paperSize="9" scale="46" fitToHeight="0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Hoja2"/>
  <dimension ref="A1:J15"/>
  <sheetViews>
    <sheetView topLeftCell="B1" workbookViewId="0">
      <selection activeCell="B4" sqref="B4"/>
    </sheetView>
  </sheetViews>
  <sheetFormatPr baseColWidth="10" defaultColWidth="11.42578125" defaultRowHeight="15" x14ac:dyDescent="0.25"/>
  <cols>
    <col min="1" max="1" width="4.7109375" style="5" bestFit="1" customWidth="1"/>
    <col min="2" max="2" width="70.5703125" style="5" customWidth="1"/>
    <col min="3" max="3" width="16" style="5" customWidth="1"/>
    <col min="4" max="4" width="16.28515625" style="5" customWidth="1"/>
    <col min="5" max="5" width="13" style="5" customWidth="1"/>
    <col min="6" max="6" width="12.5703125" style="5" customWidth="1"/>
    <col min="7" max="8" width="15" style="5" customWidth="1"/>
    <col min="9" max="9" width="23.42578125" style="5" customWidth="1"/>
    <col min="10" max="10" width="32.42578125" style="5" customWidth="1"/>
    <col min="11" max="16384" width="11.42578125" style="5"/>
  </cols>
  <sheetData>
    <row r="1" spans="1:10" ht="23.25" x14ac:dyDescent="0.35">
      <c r="A1" s="67" t="s">
        <v>3</v>
      </c>
      <c r="B1" s="67"/>
      <c r="C1" s="67"/>
      <c r="D1" s="67"/>
      <c r="E1" s="67"/>
      <c r="F1" s="67"/>
      <c r="G1" s="67"/>
      <c r="H1" s="67"/>
      <c r="I1" s="67"/>
      <c r="J1" s="67"/>
    </row>
    <row r="2" spans="1:10" ht="30" customHeight="1" x14ac:dyDescent="0.25">
      <c r="A2" s="18" t="s">
        <v>0</v>
      </c>
      <c r="B2" s="19" t="s">
        <v>1</v>
      </c>
      <c r="C2" s="20" t="s">
        <v>10</v>
      </c>
      <c r="D2" s="20" t="s">
        <v>12</v>
      </c>
      <c r="E2" s="21" t="s">
        <v>9</v>
      </c>
      <c r="F2" s="22" t="s">
        <v>13</v>
      </c>
      <c r="G2" s="20" t="s">
        <v>7</v>
      </c>
      <c r="H2" s="20" t="s">
        <v>8</v>
      </c>
      <c r="I2" s="20" t="s">
        <v>11</v>
      </c>
      <c r="J2" s="19" t="s">
        <v>2</v>
      </c>
    </row>
    <row r="3" spans="1:10" ht="92.25" customHeight="1" x14ac:dyDescent="0.25">
      <c r="B3" s="23" t="s">
        <v>26</v>
      </c>
      <c r="C3" s="24" t="s">
        <v>6</v>
      </c>
      <c r="D3" s="15" t="s">
        <v>17</v>
      </c>
      <c r="E3" s="15" t="s">
        <v>20</v>
      </c>
      <c r="F3" s="15" t="s">
        <v>21</v>
      </c>
      <c r="G3" s="15"/>
      <c r="H3" s="15"/>
      <c r="I3" s="15"/>
      <c r="J3" s="15"/>
    </row>
    <row r="4" spans="1:10" ht="207" x14ac:dyDescent="0.25">
      <c r="A4" s="16"/>
      <c r="B4" s="23" t="s">
        <v>25</v>
      </c>
      <c r="C4" s="24" t="s">
        <v>22</v>
      </c>
      <c r="D4" s="25" t="s">
        <v>17</v>
      </c>
      <c r="E4" s="26">
        <v>0.70138888888888884</v>
      </c>
      <c r="F4" s="27">
        <v>0.70486111111111116</v>
      </c>
      <c r="G4" s="4"/>
      <c r="H4" s="4"/>
      <c r="I4" s="4"/>
      <c r="J4" s="7"/>
    </row>
    <row r="5" spans="1:10" ht="38.25" x14ac:dyDescent="0.25">
      <c r="A5" s="16">
        <v>3</v>
      </c>
      <c r="B5" s="15" t="s">
        <v>23</v>
      </c>
      <c r="C5" s="28" t="s">
        <v>14</v>
      </c>
      <c r="D5" s="25" t="s">
        <v>18</v>
      </c>
      <c r="E5" s="26">
        <v>0.33333333333333331</v>
      </c>
      <c r="F5" s="27">
        <v>0.34027777777777773</v>
      </c>
      <c r="G5" s="27" t="s">
        <v>19</v>
      </c>
      <c r="H5" s="27" t="s">
        <v>16</v>
      </c>
      <c r="I5" s="27">
        <v>0</v>
      </c>
      <c r="J5" s="7"/>
    </row>
    <row r="6" spans="1:10" ht="30.75" customHeight="1" x14ac:dyDescent="0.25">
      <c r="A6" s="16"/>
      <c r="B6" s="15"/>
      <c r="C6" s="6"/>
      <c r="D6" s="2"/>
      <c r="E6" s="3"/>
      <c r="F6" s="4"/>
      <c r="G6" s="4"/>
      <c r="H6" s="4"/>
      <c r="I6" s="4"/>
      <c r="J6" s="7"/>
    </row>
    <row r="7" spans="1:10" x14ac:dyDescent="0.25">
      <c r="A7" s="16"/>
      <c r="B7" s="6" t="s">
        <v>4</v>
      </c>
      <c r="C7" s="6" t="s">
        <v>4</v>
      </c>
      <c r="D7" s="2" t="s">
        <v>4</v>
      </c>
      <c r="E7" s="3" t="s">
        <v>4</v>
      </c>
      <c r="F7" s="4"/>
      <c r="G7" s="4"/>
      <c r="H7" s="4"/>
      <c r="I7" s="4"/>
      <c r="J7" s="7"/>
    </row>
    <row r="8" spans="1:10" x14ac:dyDescent="0.25">
      <c r="A8" s="16"/>
      <c r="B8" s="6"/>
      <c r="C8" s="1"/>
      <c r="D8" s="2"/>
      <c r="E8" s="3"/>
      <c r="F8" s="4"/>
      <c r="G8" s="4"/>
      <c r="H8" s="4"/>
      <c r="I8" s="4"/>
      <c r="J8" s="7"/>
    </row>
    <row r="9" spans="1:10" x14ac:dyDescent="0.25">
      <c r="A9" s="16"/>
      <c r="B9" s="6"/>
      <c r="C9" s="1"/>
      <c r="D9" s="2"/>
      <c r="E9" s="3"/>
      <c r="F9" s="4"/>
      <c r="G9" s="4"/>
      <c r="H9" s="4"/>
      <c r="I9" s="4"/>
      <c r="J9" s="7"/>
    </row>
    <row r="10" spans="1:10" x14ac:dyDescent="0.25">
      <c r="A10" s="16"/>
      <c r="B10" s="6"/>
      <c r="C10" s="1"/>
      <c r="D10" s="2"/>
      <c r="E10" s="3"/>
      <c r="F10" s="4"/>
      <c r="G10" s="4"/>
      <c r="H10" s="4"/>
      <c r="I10" s="4"/>
      <c r="J10" s="7"/>
    </row>
    <row r="11" spans="1:10" x14ac:dyDescent="0.25">
      <c r="A11" s="17"/>
      <c r="B11" s="9"/>
      <c r="C11" s="10"/>
      <c r="D11" s="11"/>
      <c r="E11" s="12"/>
      <c r="F11" s="13"/>
      <c r="G11" s="13"/>
      <c r="H11" s="13"/>
      <c r="I11" s="13"/>
      <c r="J11" s="14"/>
    </row>
    <row r="12" spans="1:10" ht="18" x14ac:dyDescent="0.25">
      <c r="A12" s="68" t="s">
        <v>5</v>
      </c>
      <c r="B12" s="69"/>
      <c r="C12" s="69"/>
      <c r="D12" s="69"/>
      <c r="E12" s="69"/>
      <c r="F12" s="69"/>
      <c r="G12" s="69"/>
      <c r="H12" s="69"/>
      <c r="I12" s="69"/>
      <c r="J12" s="70"/>
    </row>
    <row r="13" spans="1:10" x14ac:dyDescent="0.25">
      <c r="A13" s="16">
        <v>1</v>
      </c>
      <c r="B13" s="6" t="s">
        <v>24</v>
      </c>
      <c r="C13" s="6" t="s">
        <v>6</v>
      </c>
      <c r="D13" s="15" t="s">
        <v>17</v>
      </c>
      <c r="E13" s="3">
        <v>0.70833333333333337</v>
      </c>
      <c r="F13" s="4">
        <v>0.72222222222222221</v>
      </c>
      <c r="G13" s="4" t="s">
        <v>15</v>
      </c>
      <c r="H13" s="4"/>
      <c r="I13" s="4"/>
      <c r="J13" s="4"/>
    </row>
    <row r="14" spans="1:10" x14ac:dyDescent="0.25">
      <c r="A14" s="16"/>
      <c r="B14" s="6"/>
      <c r="C14" s="6"/>
      <c r="D14" s="2"/>
      <c r="E14" s="4"/>
      <c r="F14" s="4"/>
      <c r="G14" s="4"/>
      <c r="H14" s="4"/>
      <c r="I14" s="4"/>
      <c r="J14" s="4"/>
    </row>
    <row r="15" spans="1:10" x14ac:dyDescent="0.25">
      <c r="A15" s="16"/>
      <c r="B15" s="6" t="s">
        <v>4</v>
      </c>
      <c r="C15" s="6" t="s">
        <v>4</v>
      </c>
      <c r="D15" s="2" t="s">
        <v>4</v>
      </c>
      <c r="E15" s="4" t="s">
        <v>4</v>
      </c>
      <c r="F15" s="4" t="s">
        <v>4</v>
      </c>
      <c r="G15" s="4"/>
      <c r="H15" s="4"/>
      <c r="I15" s="4"/>
      <c r="J15" s="8"/>
    </row>
  </sheetData>
  <mergeCells count="2">
    <mergeCell ref="A1:J1"/>
    <mergeCell ref="A12:J12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Hoja4"/>
  <dimension ref="B3:E24"/>
  <sheetViews>
    <sheetView workbookViewId="0">
      <selection activeCell="E4" sqref="E4"/>
    </sheetView>
  </sheetViews>
  <sheetFormatPr baseColWidth="10" defaultRowHeight="15" x14ac:dyDescent="0.25"/>
  <cols>
    <col min="2" max="2" width="10.140625" bestFit="1" customWidth="1"/>
    <col min="3" max="3" width="19" bestFit="1" customWidth="1"/>
    <col min="5" max="5" width="17.5703125" bestFit="1" customWidth="1"/>
  </cols>
  <sheetData>
    <row r="3" spans="2:5" x14ac:dyDescent="0.25">
      <c r="B3" s="72" t="s">
        <v>60</v>
      </c>
      <c r="C3" s="72"/>
      <c r="E3" s="30" t="s">
        <v>63</v>
      </c>
    </row>
    <row r="4" spans="2:5" x14ac:dyDescent="0.25">
      <c r="B4" s="29" t="s">
        <v>27</v>
      </c>
      <c r="C4" s="29" t="s">
        <v>48</v>
      </c>
      <c r="E4" s="29" t="s">
        <v>62</v>
      </c>
    </row>
    <row r="5" spans="2:5" x14ac:dyDescent="0.25">
      <c r="B5" s="29" t="s">
        <v>28</v>
      </c>
      <c r="C5" s="29" t="s">
        <v>49</v>
      </c>
    </row>
    <row r="6" spans="2:5" x14ac:dyDescent="0.25">
      <c r="B6" s="29" t="s">
        <v>47</v>
      </c>
      <c r="C6" s="29" t="s">
        <v>50</v>
      </c>
    </row>
    <row r="7" spans="2:5" x14ac:dyDescent="0.25">
      <c r="B7" s="29" t="s">
        <v>29</v>
      </c>
      <c r="C7" s="29" t="s">
        <v>51</v>
      </c>
    </row>
    <row r="8" spans="2:5" x14ac:dyDescent="0.25">
      <c r="B8" s="29" t="s">
        <v>30</v>
      </c>
      <c r="C8" s="29" t="s">
        <v>52</v>
      </c>
    </row>
    <row r="9" spans="2:5" x14ac:dyDescent="0.25">
      <c r="B9" s="29" t="s">
        <v>31</v>
      </c>
      <c r="C9" s="29" t="s">
        <v>53</v>
      </c>
    </row>
    <row r="10" spans="2:5" x14ac:dyDescent="0.25">
      <c r="B10" s="29" t="s">
        <v>32</v>
      </c>
      <c r="C10" s="29" t="s">
        <v>54</v>
      </c>
    </row>
    <row r="11" spans="2:5" x14ac:dyDescent="0.25">
      <c r="B11" s="29" t="s">
        <v>33</v>
      </c>
      <c r="C11" s="29" t="s">
        <v>55</v>
      </c>
    </row>
    <row r="12" spans="2:5" x14ac:dyDescent="0.25">
      <c r="B12" s="29" t="s">
        <v>34</v>
      </c>
      <c r="C12" s="29" t="s">
        <v>56</v>
      </c>
    </row>
    <row r="13" spans="2:5" x14ac:dyDescent="0.25">
      <c r="B13" s="29" t="s">
        <v>35</v>
      </c>
      <c r="C13" s="29" t="s">
        <v>61</v>
      </c>
    </row>
    <row r="14" spans="2:5" x14ac:dyDescent="0.25">
      <c r="B14" s="29" t="s">
        <v>36</v>
      </c>
      <c r="C14" s="29" t="s">
        <v>57</v>
      </c>
    </row>
    <row r="15" spans="2:5" x14ac:dyDescent="0.25">
      <c r="B15" s="29" t="s">
        <v>37</v>
      </c>
      <c r="C15" s="29" t="s">
        <v>58</v>
      </c>
    </row>
    <row r="16" spans="2:5" x14ac:dyDescent="0.25">
      <c r="B16" s="29" t="s">
        <v>38</v>
      </c>
      <c r="C16" s="29" t="s">
        <v>59</v>
      </c>
    </row>
    <row r="17" spans="2:3" x14ac:dyDescent="0.25">
      <c r="B17" s="29" t="s">
        <v>39</v>
      </c>
      <c r="C17" s="29"/>
    </row>
    <row r="18" spans="2:3" x14ac:dyDescent="0.25">
      <c r="B18" s="29" t="s">
        <v>40</v>
      </c>
      <c r="C18" s="29"/>
    </row>
    <row r="19" spans="2:3" x14ac:dyDescent="0.25">
      <c r="B19" s="29" t="s">
        <v>41</v>
      </c>
      <c r="C19" s="29"/>
    </row>
    <row r="20" spans="2:3" x14ac:dyDescent="0.25">
      <c r="B20" s="29" t="s">
        <v>42</v>
      </c>
      <c r="C20" s="29"/>
    </row>
    <row r="21" spans="2:3" x14ac:dyDescent="0.25">
      <c r="B21" s="29" t="s">
        <v>43</v>
      </c>
      <c r="C21" s="29"/>
    </row>
    <row r="22" spans="2:3" x14ac:dyDescent="0.25">
      <c r="B22" s="29" t="s">
        <v>44</v>
      </c>
      <c r="C22" s="29"/>
    </row>
    <row r="23" spans="2:3" x14ac:dyDescent="0.25">
      <c r="B23" s="29" t="s">
        <v>45</v>
      </c>
      <c r="C23" s="29"/>
    </row>
    <row r="24" spans="2:3" x14ac:dyDescent="0.25">
      <c r="B24" s="29" t="s">
        <v>46</v>
      </c>
      <c r="C24" s="29"/>
    </row>
  </sheetData>
  <mergeCells count="1">
    <mergeCell ref="B3:C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Checklist_1</vt:lpstr>
      <vt:lpstr>Checklist</vt:lpstr>
      <vt:lpstr>Hoja2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rsegovia</dc:creator>
  <cp:lastModifiedBy>CarlosReyes</cp:lastModifiedBy>
  <cp:lastPrinted>2021-06-22T21:57:25Z</cp:lastPrinted>
  <dcterms:created xsi:type="dcterms:W3CDTF">2011-11-28T17:12:09Z</dcterms:created>
  <dcterms:modified xsi:type="dcterms:W3CDTF">2021-06-22T21:58:19Z</dcterms:modified>
</cp:coreProperties>
</file>